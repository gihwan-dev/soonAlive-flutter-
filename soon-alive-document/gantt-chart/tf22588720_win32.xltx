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vml" ContentType="application/vnd.openxmlformats-officedocument.vmlDrawing"/>
  <Default Extension="bin" ContentType="application/vnd.openxmlformats-officedocument.spreadsheetml.printerSettings"/>
  <Default Extension="svg" ContentType="image/svg+xml"/>
  <Default Extension="png" ContentType="image/png"/>
  <Override PartName="/docProps/core.xml" ContentType="application/vnd.openxmlformats-package.core-properties+xml"/>
  <Override PartName="/xl/workbook.xml" ContentType="application/vnd.openxmlformats-officedocument.spreadsheetml.template.main+xml"/>
  <Override PartName="/xl/calcChain.xml" ContentType="application/vnd.openxmlformats-officedocument.spreadsheetml.calcChain+xml"/>
  <Override PartName="/xl/worksheets/sheet31.xml" ContentType="application/vnd.openxmlformats-officedocument.spreadsheetml.worksheet+xml"/>
  <Override PartName="/xl/drawings/drawing31.xml" ContentType="application/vnd.openxmlformats-officedocument.drawing+xml"/>
  <Override PartName="/xl/tables/table21.xml" ContentType="application/vnd.openxmlformats-officedocument.spreadsheetml.table+xml"/>
  <Override PartName="/xl/ctrlProps/ctrlProp2.xml" ContentType="application/vnd.ms-excel.controlproperties+xml"/>
  <Override PartName="/xl/sharedStrings.xml" ContentType="application/vnd.openxmlformats-officedocument.spreadsheetml.sharedStrings+xml"/>
  <Override PartName="/xl/worksheets/sheet22.xml" ContentType="application/vnd.openxmlformats-officedocument.spreadsheetml.worksheet+xml"/>
  <Override PartName="/xl/drawings/drawing22.xml" ContentType="application/vnd.openxmlformats-officedocument.drawing+xml"/>
  <Override PartName="/xl/tables/table12.xml" ContentType="application/vnd.openxmlformats-officedocument.spreadsheetml.table+xml"/>
  <Override PartName="/xl/ctrlProps/ctrlProp12.xml" ContentType="application/vnd.ms-excel.controlproperties+xml"/>
  <Override PartName="/xl/worksheets/sheet13.xml" ContentType="application/vnd.openxmlformats-officedocument.spreadsheetml.worksheet+xml"/>
  <Override PartName="/xl/drawings/drawing13.xml" ContentType="application/vnd.openxmlformats-officedocument.drawing+xml"/>
  <Override PartName="/xl/styles.xml" ContentType="application/vnd.openxmlformats-officedocument.spreadsheetml.styles+xml"/>
  <Override PartName="/xl/theme/theme11.xml" ContentType="application/vnd.openxmlformats-officedocument.theme+xml"/>
  <Override PartName="/xl/worksheets/sheet44.xml" ContentType="application/vnd.openxmlformats-officedocument.spreadsheetml.worksheet+xml"/>
  <Override PartName="/xl/drawings/drawing44.xml" ContentType="application/vnd.openxmlformats-officedocument.drawing+xml"/>
  <Override PartName="/xl/tables/table33.xml" ContentType="application/vnd.openxmlformats-officedocument.spreadsheetml.table+xml"/>
  <Override PartName="/xl/ctrlProps/ctrlProp33.xml" ContentType="application/vnd.ms-excel.control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25"/>
  <workbookPr filterPrivacy="1" codeName="ThisWorkbook"/>
  <xr:revisionPtr revIDLastSave="0" documentId="13_ncr:1_{D26991F1-0079-43A4-8596-4297A27DF85F}" xr6:coauthVersionLast="47" xr6:coauthVersionMax="47" xr10:uidLastSave="{00000000-0000-0000-0000-000000000000}"/>
  <bookViews>
    <workbookView xWindow="-120" yWindow="-120" windowWidth="29040" windowHeight="17640" tabRatio="415" activeTab="1" xr2:uid="{00000000-000D-0000-FFFF-FFFF00000000}"/>
  </bookViews>
  <sheets>
    <sheet name="정보" sheetId="12" r:id="rId1"/>
    <sheet name="녹색" sheetId="18" r:id="rId2"/>
    <sheet name="파랑" sheetId="17" r:id="rId3"/>
    <sheet name="자주" sheetId="11" r:id="rId4"/>
  </sheets>
  <definedNames>
    <definedName name="_xlnm.Print_Titles" localSheetId="1">녹색!$6:$8</definedName>
    <definedName name="_xlnm.Print_Titles" localSheetId="3">자주!$6:$8</definedName>
    <definedName name="_xlnm.Print_Titles" localSheetId="2">파랑!$6:$8</definedName>
    <definedName name="Project_Start" localSheetId="1">녹색!$C$5</definedName>
    <definedName name="Project_Start" localSheetId="2">파랑!$C$5</definedName>
    <definedName name="Project_Start">자주!$C$5</definedName>
    <definedName name="스크롤_증분" localSheetId="1">녹색!$U$5</definedName>
    <definedName name="스크롤_증분" localSheetId="2">파랑!$U$5</definedName>
    <definedName name="스크롤_증분">자주!$U$5</definedName>
    <definedName name="오늘​​" localSheetId="1">TODAY()</definedName>
    <definedName name="오늘​​" localSheetId="3">TODAY()</definedName>
    <definedName name="오늘​​" localSheetId="2">TODAY()</definedName>
    <definedName name="중요_시점_표식" localSheetId="1">녹색!$C$6</definedName>
    <definedName name="중요_시점_표식" localSheetId="2">파랑!$C$6</definedName>
    <definedName name="중요_시점_표식">자주!$C$6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K34" i="11" l="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BK33" i="11"/>
  <c r="BJ33" i="11"/>
  <c r="BI33" i="11"/>
  <c r="BH33" i="11"/>
  <c r="BG33" i="11"/>
  <c r="BF33" i="11"/>
  <c r="BE33" i="11"/>
  <c r="BD33" i="11"/>
  <c r="BC33" i="11"/>
  <c r="BB33" i="11"/>
  <c r="BA33" i="11"/>
  <c r="AZ33" i="11"/>
  <c r="AY33" i="11"/>
  <c r="AX33" i="11"/>
  <c r="AW33" i="11"/>
  <c r="AV33" i="11"/>
  <c r="AU33" i="11"/>
  <c r="AT33" i="11"/>
  <c r="AS33" i="11"/>
  <c r="AR33" i="11"/>
  <c r="AQ33" i="11"/>
  <c r="AP33" i="11"/>
  <c r="AO33" i="11"/>
  <c r="AN33" i="11"/>
  <c r="AM33" i="11"/>
  <c r="AL33" i="11"/>
  <c r="AK33" i="11"/>
  <c r="AJ33" i="11"/>
  <c r="AI33" i="11"/>
  <c r="AH33" i="11"/>
  <c r="AG33" i="11"/>
  <c r="AF33" i="11"/>
  <c r="AE33" i="11"/>
  <c r="AD33" i="11"/>
  <c r="AC33" i="11"/>
  <c r="AB33" i="11"/>
  <c r="AA33" i="11"/>
  <c r="Z33" i="11"/>
  <c r="Y33" i="11"/>
  <c r="X33" i="11"/>
  <c r="W33" i="11"/>
  <c r="V33" i="11"/>
  <c r="U33" i="11"/>
  <c r="T33" i="11"/>
  <c r="S33" i="11"/>
  <c r="R33" i="11"/>
  <c r="Q33" i="11"/>
  <c r="P33" i="11"/>
  <c r="O33" i="11"/>
  <c r="N33" i="11"/>
  <c r="M33" i="11"/>
  <c r="L33" i="11"/>
  <c r="K33" i="11"/>
  <c r="J33" i="11"/>
  <c r="I33" i="11"/>
  <c r="H33"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BK16" i="11"/>
  <c r="BJ16" i="11"/>
  <c r="BI16" i="11"/>
  <c r="BH16" i="11"/>
  <c r="BG16" i="11"/>
  <c r="BF16" i="11"/>
  <c r="BE16" i="11"/>
  <c r="BD16" i="11"/>
  <c r="BC16" i="11"/>
  <c r="BB16" i="11"/>
  <c r="BA16" i="11"/>
  <c r="AZ16" i="11"/>
  <c r="AY16" i="11"/>
  <c r="AX16" i="11"/>
  <c r="AW16" i="11"/>
  <c r="AV16" i="11"/>
  <c r="AU16" i="11"/>
  <c r="AT16" i="11"/>
  <c r="AS16" i="11"/>
  <c r="AR16" i="11"/>
  <c r="AQ16" i="11"/>
  <c r="AP16" i="11"/>
  <c r="AO16" i="11"/>
  <c r="AN16" i="11"/>
  <c r="AM16" i="11"/>
  <c r="AL16" i="11"/>
  <c r="AK16" i="11"/>
  <c r="AJ16" i="11"/>
  <c r="AI16" i="11"/>
  <c r="AH16" i="11"/>
  <c r="AG16" i="11"/>
  <c r="AF16" i="11"/>
  <c r="AE16" i="11"/>
  <c r="AD16" i="11"/>
  <c r="AC16" i="11"/>
  <c r="AB16" i="11"/>
  <c r="AA16" i="11"/>
  <c r="Z16" i="11"/>
  <c r="Y16" i="11"/>
  <c r="X16" i="11"/>
  <c r="W16" i="11"/>
  <c r="V16" i="11"/>
  <c r="U16" i="11"/>
  <c r="T16" i="11"/>
  <c r="S16" i="11"/>
  <c r="R16" i="11"/>
  <c r="Q16" i="11"/>
  <c r="P16" i="11"/>
  <c r="O16" i="11"/>
  <c r="N16" i="11"/>
  <c r="M16" i="11"/>
  <c r="L16" i="11"/>
  <c r="K16" i="11"/>
  <c r="J16" i="11"/>
  <c r="I16" i="11"/>
  <c r="H16"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BK34" i="17"/>
  <c r="BJ34" i="17"/>
  <c r="BI34" i="17"/>
  <c r="BH34" i="17"/>
  <c r="BG34" i="17"/>
  <c r="BF34" i="17"/>
  <c r="BE34" i="17"/>
  <c r="BD34" i="17"/>
  <c r="BC34" i="17"/>
  <c r="BB34" i="17"/>
  <c r="BA34" i="17"/>
  <c r="AZ34" i="17"/>
  <c r="AY34" i="17"/>
  <c r="AX34" i="17"/>
  <c r="AW34" i="17"/>
  <c r="AV34" i="17"/>
  <c r="AU34" i="17"/>
  <c r="AT34" i="17"/>
  <c r="AS34" i="17"/>
  <c r="AR34" i="17"/>
  <c r="AQ34" i="17"/>
  <c r="AP34" i="17"/>
  <c r="AO34" i="17"/>
  <c r="AN34" i="17"/>
  <c r="AM34" i="17"/>
  <c r="AL34" i="17"/>
  <c r="AK34" i="17"/>
  <c r="AJ34" i="17"/>
  <c r="AI34" i="17"/>
  <c r="AH34" i="17"/>
  <c r="AG34" i="17"/>
  <c r="AF34" i="17"/>
  <c r="AE34" i="17"/>
  <c r="AD34" i="17"/>
  <c r="AC34" i="17"/>
  <c r="AB34" i="17"/>
  <c r="AA34" i="17"/>
  <c r="Z34" i="17"/>
  <c r="Y34" i="17"/>
  <c r="X34" i="17"/>
  <c r="W34" i="17"/>
  <c r="V34" i="17"/>
  <c r="U34" i="17"/>
  <c r="T34" i="17"/>
  <c r="S34" i="17"/>
  <c r="R34" i="17"/>
  <c r="Q34" i="17"/>
  <c r="P34" i="17"/>
  <c r="O34" i="17"/>
  <c r="N34" i="17"/>
  <c r="M34" i="17"/>
  <c r="L34" i="17"/>
  <c r="K34" i="17"/>
  <c r="J34" i="17"/>
  <c r="I34" i="17"/>
  <c r="H34" i="17"/>
  <c r="BK33" i="17"/>
  <c r="BJ33" i="17"/>
  <c r="BI33" i="17"/>
  <c r="BH33" i="17"/>
  <c r="BG33" i="17"/>
  <c r="BF33" i="17"/>
  <c r="BE33" i="17"/>
  <c r="BD33" i="17"/>
  <c r="BC33" i="17"/>
  <c r="BB33" i="17"/>
  <c r="BA33" i="17"/>
  <c r="AZ33" i="17"/>
  <c r="AY33" i="17"/>
  <c r="AX33" i="17"/>
  <c r="AW33" i="17"/>
  <c r="AV33" i="17"/>
  <c r="AU33" i="17"/>
  <c r="AT33" i="17"/>
  <c r="AS33" i="17"/>
  <c r="AR33" i="17"/>
  <c r="AQ33" i="17"/>
  <c r="AP33" i="17"/>
  <c r="AO33" i="17"/>
  <c r="AN33" i="17"/>
  <c r="AM33" i="17"/>
  <c r="AL33" i="17"/>
  <c r="AK33" i="17"/>
  <c r="AJ33" i="17"/>
  <c r="AI33" i="17"/>
  <c r="AH33" i="17"/>
  <c r="AG33" i="17"/>
  <c r="AF33" i="17"/>
  <c r="AE33" i="17"/>
  <c r="AD33" i="17"/>
  <c r="AC33" i="17"/>
  <c r="AB33" i="17"/>
  <c r="AA33" i="17"/>
  <c r="Z33" i="17"/>
  <c r="Y33" i="17"/>
  <c r="X33" i="17"/>
  <c r="W33" i="17"/>
  <c r="V33" i="17"/>
  <c r="U33" i="17"/>
  <c r="T33" i="17"/>
  <c r="S33" i="17"/>
  <c r="R33" i="17"/>
  <c r="Q33" i="17"/>
  <c r="P33" i="17"/>
  <c r="O33" i="17"/>
  <c r="N33" i="17"/>
  <c r="M33" i="17"/>
  <c r="L33" i="17"/>
  <c r="K33" i="17"/>
  <c r="J33" i="17"/>
  <c r="I33" i="17"/>
  <c r="H33" i="17"/>
  <c r="BK32" i="17"/>
  <c r="BJ32" i="17"/>
  <c r="BI32" i="17"/>
  <c r="BH32" i="17"/>
  <c r="BG32" i="17"/>
  <c r="BF32" i="17"/>
  <c r="BE32" i="17"/>
  <c r="BD32" i="17"/>
  <c r="BC32" i="17"/>
  <c r="BB32" i="17"/>
  <c r="BA32" i="17"/>
  <c r="AZ32" i="17"/>
  <c r="AY32" i="17"/>
  <c r="AX32" i="17"/>
  <c r="AW32" i="17"/>
  <c r="AV32" i="17"/>
  <c r="AU32" i="17"/>
  <c r="AT32" i="17"/>
  <c r="AS32" i="17"/>
  <c r="AR32" i="17"/>
  <c r="AQ32" i="17"/>
  <c r="AP32" i="17"/>
  <c r="AO32" i="17"/>
  <c r="AN32" i="17"/>
  <c r="AM32" i="17"/>
  <c r="AL32" i="17"/>
  <c r="AK32" i="17"/>
  <c r="AJ32" i="17"/>
  <c r="AI32" i="17"/>
  <c r="AH32" i="17"/>
  <c r="AG32" i="17"/>
  <c r="AF32" i="17"/>
  <c r="AE32" i="17"/>
  <c r="AD32" i="17"/>
  <c r="AC32" i="17"/>
  <c r="AB32" i="17"/>
  <c r="AA32" i="17"/>
  <c r="Z32" i="17"/>
  <c r="Y32" i="17"/>
  <c r="X32" i="17"/>
  <c r="W32" i="17"/>
  <c r="V32" i="17"/>
  <c r="U32" i="17"/>
  <c r="T32" i="17"/>
  <c r="S32" i="17"/>
  <c r="R32" i="17"/>
  <c r="Q32" i="17"/>
  <c r="P32" i="17"/>
  <c r="O32" i="17"/>
  <c r="N32" i="17"/>
  <c r="M32" i="17"/>
  <c r="L32" i="17"/>
  <c r="K32" i="17"/>
  <c r="J32" i="17"/>
  <c r="I32" i="17"/>
  <c r="H32" i="17"/>
  <c r="BK28" i="17"/>
  <c r="BJ28" i="17"/>
  <c r="BI28" i="17"/>
  <c r="BH28" i="17"/>
  <c r="BG28" i="17"/>
  <c r="BF28" i="17"/>
  <c r="BE28" i="17"/>
  <c r="BD28" i="17"/>
  <c r="BC28" i="17"/>
  <c r="BB28" i="17"/>
  <c r="BA28" i="17"/>
  <c r="AZ28" i="17"/>
  <c r="AY28" i="17"/>
  <c r="AX28" i="17"/>
  <c r="AW28" i="17"/>
  <c r="AV28" i="17"/>
  <c r="AU28" i="17"/>
  <c r="AT28" i="17"/>
  <c r="AS28" i="17"/>
  <c r="AR28" i="17"/>
  <c r="AQ28" i="17"/>
  <c r="AP28" i="17"/>
  <c r="AO28" i="17"/>
  <c r="AN28" i="17"/>
  <c r="AM28" i="17"/>
  <c r="AL28" i="17"/>
  <c r="AK28" i="17"/>
  <c r="AJ28" i="17"/>
  <c r="AI28" i="17"/>
  <c r="AH28" i="17"/>
  <c r="AG28" i="17"/>
  <c r="AF28" i="17"/>
  <c r="AE28" i="17"/>
  <c r="AD28" i="17"/>
  <c r="AC28" i="17"/>
  <c r="AB28" i="17"/>
  <c r="AA28" i="17"/>
  <c r="Z28" i="17"/>
  <c r="Y28" i="17"/>
  <c r="X28" i="17"/>
  <c r="W28" i="17"/>
  <c r="V28" i="17"/>
  <c r="U28" i="17"/>
  <c r="T28" i="17"/>
  <c r="S28" i="17"/>
  <c r="R28" i="17"/>
  <c r="Q28" i="17"/>
  <c r="P28" i="17"/>
  <c r="O28" i="17"/>
  <c r="N28" i="17"/>
  <c r="M28" i="17"/>
  <c r="L28" i="17"/>
  <c r="K28" i="17"/>
  <c r="J28" i="17"/>
  <c r="I28" i="17"/>
  <c r="H28" i="17"/>
  <c r="BK22" i="17"/>
  <c r="BJ22" i="17"/>
  <c r="BI22" i="17"/>
  <c r="BH22" i="17"/>
  <c r="BG22" i="17"/>
  <c r="BF22" i="17"/>
  <c r="BE22" i="17"/>
  <c r="BD22" i="17"/>
  <c r="BC22" i="17"/>
  <c r="BB22" i="17"/>
  <c r="BA22" i="17"/>
  <c r="AZ22" i="17"/>
  <c r="AY22" i="17"/>
  <c r="AX22" i="17"/>
  <c r="AW22" i="17"/>
  <c r="AV22" i="17"/>
  <c r="AU22" i="17"/>
  <c r="AT22" i="17"/>
  <c r="AS22" i="17"/>
  <c r="AR22" i="17"/>
  <c r="AQ22" i="17"/>
  <c r="AP22" i="17"/>
  <c r="AO22" i="17"/>
  <c r="AN22" i="17"/>
  <c r="AM22" i="17"/>
  <c r="AL22"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BK16" i="17"/>
  <c r="BJ16" i="17"/>
  <c r="BI16" i="17"/>
  <c r="BH16" i="17"/>
  <c r="BG16" i="17"/>
  <c r="BF16" i="17"/>
  <c r="BE16" i="17"/>
  <c r="BD16" i="17"/>
  <c r="BC16" i="17"/>
  <c r="BB16" i="17"/>
  <c r="BA16" i="17"/>
  <c r="AZ16" i="17"/>
  <c r="AY16" i="17"/>
  <c r="AX16" i="17"/>
  <c r="AW16" i="17"/>
  <c r="AV16" i="17"/>
  <c r="AU16" i="17"/>
  <c r="AT16" i="17"/>
  <c r="AS16" i="17"/>
  <c r="AR16" i="17"/>
  <c r="AQ16" i="17"/>
  <c r="AP16" i="17"/>
  <c r="AO16" i="17"/>
  <c r="AN16" i="17"/>
  <c r="AM16" i="17"/>
  <c r="AL16" i="17"/>
  <c r="AK16" i="17"/>
  <c r="AJ16" i="17"/>
  <c r="AI16" i="17"/>
  <c r="AH16" i="17"/>
  <c r="AG16" i="17"/>
  <c r="AF16" i="17"/>
  <c r="AE16" i="17"/>
  <c r="AD16" i="17"/>
  <c r="AC16" i="17"/>
  <c r="AB16" i="17"/>
  <c r="AA16" i="17"/>
  <c r="Z16" i="17"/>
  <c r="Y16" i="17"/>
  <c r="X16" i="17"/>
  <c r="W16" i="17"/>
  <c r="V16" i="17"/>
  <c r="U16" i="17"/>
  <c r="T16" i="17"/>
  <c r="S16" i="17"/>
  <c r="R16" i="17"/>
  <c r="Q16" i="17"/>
  <c r="P16" i="17"/>
  <c r="O16" i="17"/>
  <c r="N16" i="17"/>
  <c r="M16" i="17"/>
  <c r="L16" i="17"/>
  <c r="K16" i="17"/>
  <c r="J16" i="17"/>
  <c r="I16" i="17"/>
  <c r="H16" i="17"/>
  <c r="BK10" i="17"/>
  <c r="BJ10" i="17"/>
  <c r="BI10" i="17"/>
  <c r="BH10" i="17"/>
  <c r="BG10" i="17"/>
  <c r="BF10" i="17"/>
  <c r="BE10" i="17"/>
  <c r="BD10" i="17"/>
  <c r="BC10" i="17"/>
  <c r="BB10" i="17"/>
  <c r="BA10" i="17"/>
  <c r="AZ10" i="17"/>
  <c r="AY10" i="17"/>
  <c r="AX10" i="17"/>
  <c r="AW10" i="17"/>
  <c r="AV10" i="17"/>
  <c r="AU10" i="17"/>
  <c r="AT10" i="17"/>
  <c r="AS10" i="17"/>
  <c r="AR10" i="17"/>
  <c r="AQ10" i="17"/>
  <c r="AP10" i="17"/>
  <c r="AO10" i="17"/>
  <c r="AN10" i="17"/>
  <c r="AM10" i="17"/>
  <c r="AL10" i="17"/>
  <c r="AK10" i="17"/>
  <c r="AJ10" i="17"/>
  <c r="AI10" i="17"/>
  <c r="AH10" i="17"/>
  <c r="AG10" i="17"/>
  <c r="AF10" i="17"/>
  <c r="AE10" i="17"/>
  <c r="AD10" i="17"/>
  <c r="AC10" i="17"/>
  <c r="AB10" i="17"/>
  <c r="AA10" i="17"/>
  <c r="Z10" i="17"/>
  <c r="Y10" i="17"/>
  <c r="X10" i="17"/>
  <c r="W10" i="17"/>
  <c r="V10" i="17"/>
  <c r="U10" i="17"/>
  <c r="T10" i="17"/>
  <c r="S10" i="17"/>
  <c r="R10" i="17"/>
  <c r="Q10" i="17"/>
  <c r="P10" i="17"/>
  <c r="O10" i="17"/>
  <c r="N10" i="17"/>
  <c r="M10" i="17"/>
  <c r="L10" i="17"/>
  <c r="K10" i="17"/>
  <c r="J10" i="17"/>
  <c r="I10" i="17"/>
  <c r="H10" i="17"/>
  <c r="BK34" i="18"/>
  <c r="BJ34" i="18"/>
  <c r="BI34" i="18"/>
  <c r="BH34" i="18"/>
  <c r="BG34" i="18"/>
  <c r="BF34" i="18"/>
  <c r="BE34" i="18"/>
  <c r="BD34" i="18"/>
  <c r="BC34" i="18"/>
  <c r="BB34" i="18"/>
  <c r="BA34" i="18"/>
  <c r="AZ34" i="18"/>
  <c r="AY34" i="18"/>
  <c r="AX34" i="18"/>
  <c r="AW34" i="18"/>
  <c r="AV34" i="18"/>
  <c r="AU34" i="18"/>
  <c r="AT34" i="18"/>
  <c r="AS34" i="18"/>
  <c r="AR34" i="18"/>
  <c r="AQ34" i="18"/>
  <c r="AP34" i="18"/>
  <c r="AO34" i="18"/>
  <c r="AN34" i="18"/>
  <c r="AM34" i="18"/>
  <c r="AL34" i="18"/>
  <c r="AK34" i="18"/>
  <c r="AJ34" i="18"/>
  <c r="AI34" i="18"/>
  <c r="AH34" i="18"/>
  <c r="AG34" i="18"/>
  <c r="AF34" i="18"/>
  <c r="AE34" i="18"/>
  <c r="AD34" i="18"/>
  <c r="AC34" i="18"/>
  <c r="AB34" i="18"/>
  <c r="AA34" i="18"/>
  <c r="Z34" i="18"/>
  <c r="Y34" i="18"/>
  <c r="X34" i="18"/>
  <c r="W34" i="18"/>
  <c r="V34" i="18"/>
  <c r="U34" i="18"/>
  <c r="T34" i="18"/>
  <c r="S34" i="18"/>
  <c r="R34" i="18"/>
  <c r="Q34" i="18"/>
  <c r="P34" i="18"/>
  <c r="O34" i="18"/>
  <c r="N34" i="18"/>
  <c r="M34" i="18"/>
  <c r="L34" i="18"/>
  <c r="K34" i="18"/>
  <c r="J34" i="18"/>
  <c r="I34" i="18"/>
  <c r="H34" i="18"/>
  <c r="BK33" i="18"/>
  <c r="BJ33" i="18"/>
  <c r="BI33" i="18"/>
  <c r="BH33" i="18"/>
  <c r="BG33" i="18"/>
  <c r="BF33" i="18"/>
  <c r="BE33" i="18"/>
  <c r="BD33" i="18"/>
  <c r="BC33" i="18"/>
  <c r="BB33" i="18"/>
  <c r="BA33" i="18"/>
  <c r="AZ33" i="18"/>
  <c r="AY33" i="18"/>
  <c r="AX33" i="18"/>
  <c r="AW33" i="18"/>
  <c r="AV33" i="18"/>
  <c r="AU33" i="18"/>
  <c r="AT33" i="18"/>
  <c r="AS33" i="18"/>
  <c r="AR33" i="18"/>
  <c r="AQ33" i="18"/>
  <c r="AP33" i="18"/>
  <c r="AO33" i="18"/>
  <c r="AN33" i="18"/>
  <c r="AM33" i="18"/>
  <c r="AL33" i="18"/>
  <c r="AK33" i="18"/>
  <c r="AJ33" i="18"/>
  <c r="AI33" i="18"/>
  <c r="AH33" i="18"/>
  <c r="AG33" i="18"/>
  <c r="AF33" i="18"/>
  <c r="AE33" i="18"/>
  <c r="AD33" i="18"/>
  <c r="AC33" i="18"/>
  <c r="AB33" i="18"/>
  <c r="AA33" i="18"/>
  <c r="Z33" i="18"/>
  <c r="Y33" i="18"/>
  <c r="X33" i="18"/>
  <c r="W33" i="18"/>
  <c r="V33" i="18"/>
  <c r="U33" i="18"/>
  <c r="T33" i="18"/>
  <c r="S33" i="18"/>
  <c r="R33" i="18"/>
  <c r="Q33" i="18"/>
  <c r="P33" i="18"/>
  <c r="O33" i="18"/>
  <c r="N33" i="18"/>
  <c r="M33" i="18"/>
  <c r="L33" i="18"/>
  <c r="K33" i="18"/>
  <c r="J33" i="18"/>
  <c r="I33" i="18"/>
  <c r="H33" i="18"/>
  <c r="BK32" i="18"/>
  <c r="BJ32" i="18"/>
  <c r="BI32" i="18"/>
  <c r="BH32" i="18"/>
  <c r="BG32" i="18"/>
  <c r="BF32" i="18"/>
  <c r="BE32" i="18"/>
  <c r="BD32" i="18"/>
  <c r="BC32" i="18"/>
  <c r="BB32" i="18"/>
  <c r="BA32" i="18"/>
  <c r="AZ32" i="18"/>
  <c r="AY32" i="18"/>
  <c r="AX32" i="18"/>
  <c r="AW32" i="18"/>
  <c r="AV32" i="18"/>
  <c r="AU32" i="18"/>
  <c r="AT32" i="18"/>
  <c r="AS32" i="18"/>
  <c r="AR32" i="18"/>
  <c r="AQ32" i="18"/>
  <c r="AP32" i="18"/>
  <c r="AO32" i="18"/>
  <c r="AN32" i="18"/>
  <c r="AM32" i="18"/>
  <c r="AL32" i="18"/>
  <c r="AK32" i="18"/>
  <c r="AJ32" i="18"/>
  <c r="AI32" i="18"/>
  <c r="AH32" i="18"/>
  <c r="AG32" i="18"/>
  <c r="AF32" i="18"/>
  <c r="AE32" i="18"/>
  <c r="AD32" i="18"/>
  <c r="AC32" i="18"/>
  <c r="AB32" i="18"/>
  <c r="AA32" i="18"/>
  <c r="Z32" i="18"/>
  <c r="Y32" i="18"/>
  <c r="X32" i="18"/>
  <c r="W32" i="18"/>
  <c r="V32" i="18"/>
  <c r="U32" i="18"/>
  <c r="T32" i="18"/>
  <c r="S32" i="18"/>
  <c r="R32" i="18"/>
  <c r="Q32" i="18"/>
  <c r="P32" i="18"/>
  <c r="O32" i="18"/>
  <c r="N32" i="18"/>
  <c r="M32" i="18"/>
  <c r="L32" i="18"/>
  <c r="K32" i="18"/>
  <c r="J32" i="18"/>
  <c r="I32" i="18"/>
  <c r="H32" i="18"/>
  <c r="BK28" i="18"/>
  <c r="BJ28" i="18"/>
  <c r="BI28" i="18"/>
  <c r="BH28" i="18"/>
  <c r="BG28" i="18"/>
  <c r="BF28" i="18"/>
  <c r="BE28" i="18"/>
  <c r="BD28" i="18"/>
  <c r="BC28" i="18"/>
  <c r="BB28" i="18"/>
  <c r="BA28" i="18"/>
  <c r="AZ28" i="18"/>
  <c r="AY28" i="18"/>
  <c r="AX28" i="18"/>
  <c r="AW28" i="18"/>
  <c r="AV28" i="18"/>
  <c r="AU28" i="18"/>
  <c r="AT28" i="18"/>
  <c r="AS28" i="18"/>
  <c r="AR28" i="18"/>
  <c r="AQ28" i="18"/>
  <c r="AP28" i="18"/>
  <c r="AO28" i="18"/>
  <c r="AN28" i="18"/>
  <c r="AM28" i="18"/>
  <c r="AL28" i="18"/>
  <c r="AK28" i="18"/>
  <c r="AJ28" i="18"/>
  <c r="AI28" i="18"/>
  <c r="AH28" i="18"/>
  <c r="AG28" i="18"/>
  <c r="AF28" i="18"/>
  <c r="AE28" i="18"/>
  <c r="AD28" i="18"/>
  <c r="AC28" i="18"/>
  <c r="AB28" i="18"/>
  <c r="AA28" i="18"/>
  <c r="Z28" i="18"/>
  <c r="Y28" i="18"/>
  <c r="X28" i="18"/>
  <c r="W28" i="18"/>
  <c r="V28" i="18"/>
  <c r="U28" i="18"/>
  <c r="T28" i="18"/>
  <c r="S28" i="18"/>
  <c r="R28" i="18"/>
  <c r="Q28" i="18"/>
  <c r="P28" i="18"/>
  <c r="O28" i="18"/>
  <c r="N28" i="18"/>
  <c r="M28" i="18"/>
  <c r="L28" i="18"/>
  <c r="K28" i="18"/>
  <c r="J28" i="18"/>
  <c r="I28" i="18"/>
  <c r="H28" i="18"/>
  <c r="BK22" i="18"/>
  <c r="BJ22" i="18"/>
  <c r="BI22" i="18"/>
  <c r="BH22" i="18"/>
  <c r="BG22" i="18"/>
  <c r="BF22" i="18"/>
  <c r="BE22" i="18"/>
  <c r="BD22" i="18"/>
  <c r="BC22" i="18"/>
  <c r="BB22" i="18"/>
  <c r="BA22" i="18"/>
  <c r="AZ22" i="18"/>
  <c r="AY22" i="18"/>
  <c r="AX22" i="18"/>
  <c r="AW22" i="18"/>
  <c r="AV22" i="18"/>
  <c r="AU22" i="18"/>
  <c r="AT22" i="18"/>
  <c r="AS22" i="18"/>
  <c r="AR22" i="18"/>
  <c r="AQ22" i="18"/>
  <c r="AP22" i="18"/>
  <c r="AO22" i="18"/>
  <c r="AN22" i="18"/>
  <c r="AM22" i="18"/>
  <c r="AL22" i="18"/>
  <c r="AK22" i="18"/>
  <c r="AJ22" i="18"/>
  <c r="AI22" i="18"/>
  <c r="AH22" i="18"/>
  <c r="AG22" i="18"/>
  <c r="AF22" i="18"/>
  <c r="AE22" i="18"/>
  <c r="AD22" i="18"/>
  <c r="AC22" i="18"/>
  <c r="AB22" i="18"/>
  <c r="AA22" i="18"/>
  <c r="Z22" i="18"/>
  <c r="Y22" i="18"/>
  <c r="X22" i="18"/>
  <c r="W22" i="18"/>
  <c r="V22" i="18"/>
  <c r="U22" i="18"/>
  <c r="T22" i="18"/>
  <c r="S22" i="18"/>
  <c r="R22" i="18"/>
  <c r="Q22" i="18"/>
  <c r="P22" i="18"/>
  <c r="O22" i="18"/>
  <c r="N22" i="18"/>
  <c r="M22" i="18"/>
  <c r="L22" i="18"/>
  <c r="K22" i="18"/>
  <c r="J22" i="18"/>
  <c r="I22" i="18"/>
  <c r="H22" i="18"/>
  <c r="BK16" i="18"/>
  <c r="BJ16" i="18"/>
  <c r="BI16" i="18"/>
  <c r="BH16" i="18"/>
  <c r="BG16" i="18"/>
  <c r="BF16" i="18"/>
  <c r="BE16" i="18"/>
  <c r="BD16" i="18"/>
  <c r="BC16" i="18"/>
  <c r="BB16" i="18"/>
  <c r="BA16" i="18"/>
  <c r="AZ16" i="18"/>
  <c r="AY16" i="18"/>
  <c r="AX16" i="18"/>
  <c r="AW16" i="18"/>
  <c r="AV16" i="18"/>
  <c r="AU16" i="18"/>
  <c r="AT16" i="18"/>
  <c r="AS16" i="18"/>
  <c r="AR16" i="18"/>
  <c r="AQ16" i="18"/>
  <c r="AP16" i="18"/>
  <c r="AO16" i="18"/>
  <c r="AN16" i="18"/>
  <c r="AM16" i="18"/>
  <c r="AL16" i="18"/>
  <c r="AK16" i="18"/>
  <c r="AJ16" i="18"/>
  <c r="AI16" i="18"/>
  <c r="AH16" i="18"/>
  <c r="AG16" i="18"/>
  <c r="AF16" i="18"/>
  <c r="AE16" i="18"/>
  <c r="AD16" i="18"/>
  <c r="AC16" i="18"/>
  <c r="AB16" i="18"/>
  <c r="AA16" i="18"/>
  <c r="Z16" i="18"/>
  <c r="Y16" i="18"/>
  <c r="X16" i="18"/>
  <c r="W16" i="18"/>
  <c r="V16" i="18"/>
  <c r="U16" i="18"/>
  <c r="T16" i="18"/>
  <c r="S16" i="18"/>
  <c r="R16" i="18"/>
  <c r="Q16" i="18"/>
  <c r="P16" i="18"/>
  <c r="O16" i="18"/>
  <c r="N16" i="18"/>
  <c r="M16" i="18"/>
  <c r="L16" i="18"/>
  <c r="K16" i="18"/>
  <c r="J16" i="18"/>
  <c r="I16" i="18"/>
  <c r="H16" i="18"/>
  <c r="BK10" i="18"/>
  <c r="BJ10" i="18"/>
  <c r="BI10" i="18"/>
  <c r="BH10" i="18"/>
  <c r="BG10" i="18"/>
  <c r="BF10" i="18"/>
  <c r="BE10" i="18"/>
  <c r="BD10" i="18"/>
  <c r="BC10" i="18"/>
  <c r="BB10" i="18"/>
  <c r="BA10" i="18"/>
  <c r="AZ10" i="18"/>
  <c r="AY10" i="18"/>
  <c r="AX10" i="18"/>
  <c r="AW10" i="18"/>
  <c r="AV10" i="18"/>
  <c r="AU10" i="18"/>
  <c r="AT10" i="18"/>
  <c r="AS10" i="18"/>
  <c r="AR10" i="18"/>
  <c r="AQ10" i="18"/>
  <c r="AP10" i="18"/>
  <c r="AO10" i="18"/>
  <c r="AN10" i="18"/>
  <c r="AM10" i="18"/>
  <c r="AL10" i="18"/>
  <c r="AK10" i="18"/>
  <c r="AJ10" i="18"/>
  <c r="AI10" i="18"/>
  <c r="AH10" i="18"/>
  <c r="AG10" i="18"/>
  <c r="AF10" i="18"/>
  <c r="AE10" i="18"/>
  <c r="AD10" i="18"/>
  <c r="AC10" i="18"/>
  <c r="AB10" i="18"/>
  <c r="AA10" i="18"/>
  <c r="Z10" i="18"/>
  <c r="Y10" i="18"/>
  <c r="X10" i="18"/>
  <c r="W10" i="18"/>
  <c r="V10" i="18"/>
  <c r="U10" i="18"/>
  <c r="T10" i="18"/>
  <c r="S10" i="18"/>
  <c r="R10" i="18"/>
  <c r="Q10" i="18"/>
  <c r="P10" i="18"/>
  <c r="O10" i="18"/>
  <c r="N10" i="18"/>
  <c r="M10" i="18"/>
  <c r="L10" i="18"/>
  <c r="K10" i="18"/>
  <c r="J10" i="18"/>
  <c r="I10" i="18"/>
  <c r="C5" i="18"/>
  <c r="H10" i="18"/>
  <c r="E31" i="18"/>
  <c r="E30" i="18"/>
  <c r="E29" i="18"/>
  <c r="E27" i="18"/>
  <c r="E26" i="18"/>
  <c r="E25" i="18"/>
  <c r="E24" i="18"/>
  <c r="E23" i="18"/>
  <c r="E21" i="18"/>
  <c r="E20" i="18"/>
  <c r="E19" i="18"/>
  <c r="E18" i="18"/>
  <c r="E17" i="18"/>
  <c r="E15" i="18"/>
  <c r="E14" i="18"/>
  <c r="E13" i="18"/>
  <c r="E12" i="18"/>
  <c r="E11" i="18"/>
  <c r="D6" i="18"/>
  <c r="E31" i="17"/>
  <c r="E30" i="17"/>
  <c r="E29" i="17"/>
  <c r="E27" i="17"/>
  <c r="E26" i="17"/>
  <c r="E25" i="17"/>
  <c r="E24" i="17"/>
  <c r="E23" i="17"/>
  <c r="E21" i="17"/>
  <c r="E20" i="17"/>
  <c r="E19" i="17"/>
  <c r="E18" i="17"/>
  <c r="E17" i="17"/>
  <c r="E15" i="17"/>
  <c r="E14" i="17"/>
  <c r="E13" i="17"/>
  <c r="E12" i="17"/>
  <c r="E11" i="17"/>
  <c r="D6" i="17"/>
  <c r="H7" i="18" l="1"/>
  <c r="C5" i="17"/>
  <c r="H7" i="17" s="1"/>
  <c r="H8" i="17" l="1"/>
  <c r="H31" i="17"/>
  <c r="H30" i="17"/>
  <c r="H29" i="17"/>
  <c r="H27" i="17"/>
  <c r="H26" i="17"/>
  <c r="H25" i="17"/>
  <c r="H24" i="17"/>
  <c r="H23" i="17"/>
  <c r="H21" i="17"/>
  <c r="H20" i="17"/>
  <c r="H19" i="17"/>
  <c r="H18" i="17"/>
  <c r="H17" i="17"/>
  <c r="H15" i="17"/>
  <c r="H14" i="17"/>
  <c r="H13" i="17"/>
  <c r="H12" i="17"/>
  <c r="H11" i="17"/>
  <c r="H8" i="18"/>
  <c r="H31" i="18"/>
  <c r="H30" i="18"/>
  <c r="H29" i="18"/>
  <c r="H27" i="18"/>
  <c r="H26" i="18"/>
  <c r="H25" i="18"/>
  <c r="H24" i="18"/>
  <c r="H23" i="18"/>
  <c r="H21" i="18"/>
  <c r="H20" i="18"/>
  <c r="H19" i="18"/>
  <c r="H18" i="18"/>
  <c r="H17" i="18"/>
  <c r="H15" i="18"/>
  <c r="H14" i="18"/>
  <c r="H13" i="18"/>
  <c r="H12" i="18"/>
  <c r="H11" i="18"/>
  <c r="H6" i="17"/>
  <c r="H6" i="18"/>
  <c r="I7" i="18"/>
  <c r="I7" i="17"/>
  <c r="I31" i="17" l="1"/>
  <c r="I30" i="17"/>
  <c r="I29" i="17"/>
  <c r="I27" i="17"/>
  <c r="I26" i="17"/>
  <c r="I25" i="17"/>
  <c r="I24" i="17"/>
  <c r="I23" i="17"/>
  <c r="I21" i="17"/>
  <c r="I20" i="17"/>
  <c r="I19" i="17"/>
  <c r="I18" i="17"/>
  <c r="I17" i="17"/>
  <c r="I15" i="17"/>
  <c r="I14" i="17"/>
  <c r="I13" i="17"/>
  <c r="I12" i="17"/>
  <c r="I11" i="17"/>
  <c r="I31" i="18"/>
  <c r="I30" i="18"/>
  <c r="I29" i="18"/>
  <c r="I27" i="18"/>
  <c r="I26" i="18"/>
  <c r="I25" i="18"/>
  <c r="I24" i="18"/>
  <c r="I23" i="18"/>
  <c r="I21" i="18"/>
  <c r="I20" i="18"/>
  <c r="I19" i="18"/>
  <c r="I18" i="18"/>
  <c r="I17" i="18"/>
  <c r="I15" i="18"/>
  <c r="I14" i="18"/>
  <c r="I13" i="18"/>
  <c r="I12" i="18"/>
  <c r="I11" i="18"/>
  <c r="I8" i="17"/>
  <c r="I8" i="18"/>
  <c r="J7" i="18"/>
  <c r="J7" i="17"/>
  <c r="J31" i="17" l="1"/>
  <c r="J30" i="17"/>
  <c r="J29" i="17"/>
  <c r="J27" i="17"/>
  <c r="J26" i="17"/>
  <c r="J25" i="17"/>
  <c r="J24" i="17"/>
  <c r="J23" i="17"/>
  <c r="J21" i="17"/>
  <c r="J20" i="17"/>
  <c r="J19" i="17"/>
  <c r="J18" i="17"/>
  <c r="J17" i="17"/>
  <c r="J15" i="17"/>
  <c r="J14" i="17"/>
  <c r="J13" i="17"/>
  <c r="J12" i="17"/>
  <c r="J11" i="17"/>
  <c r="J31" i="18"/>
  <c r="J30" i="18"/>
  <c r="J29" i="18"/>
  <c r="J27" i="18"/>
  <c r="J26" i="18"/>
  <c r="J25" i="18"/>
  <c r="J24" i="18"/>
  <c r="J23" i="18"/>
  <c r="J21" i="18"/>
  <c r="J20" i="18"/>
  <c r="J19" i="18"/>
  <c r="J18" i="18"/>
  <c r="J17" i="18"/>
  <c r="J15" i="18"/>
  <c r="J14" i="18"/>
  <c r="J13" i="18"/>
  <c r="J12" i="18"/>
  <c r="J11" i="18"/>
  <c r="J8" i="17"/>
  <c r="J8" i="18"/>
  <c r="K7" i="18"/>
  <c r="K7" i="17"/>
  <c r="K31" i="17" l="1"/>
  <c r="K30" i="17"/>
  <c r="K29" i="17"/>
  <c r="K27" i="17"/>
  <c r="K26" i="17"/>
  <c r="K25" i="17"/>
  <c r="K24" i="17"/>
  <c r="K23" i="17"/>
  <c r="K21" i="17"/>
  <c r="K20" i="17"/>
  <c r="K19" i="17"/>
  <c r="K18" i="17"/>
  <c r="K17" i="17"/>
  <c r="K15" i="17"/>
  <c r="K14" i="17"/>
  <c r="K13" i="17"/>
  <c r="K12" i="17"/>
  <c r="K11" i="17"/>
  <c r="K31" i="18"/>
  <c r="K30" i="18"/>
  <c r="K29" i="18"/>
  <c r="K27" i="18"/>
  <c r="K26" i="18"/>
  <c r="K25" i="18"/>
  <c r="K24" i="18"/>
  <c r="K23" i="18"/>
  <c r="K21" i="18"/>
  <c r="K20" i="18"/>
  <c r="K19" i="18"/>
  <c r="K18" i="18"/>
  <c r="K17" i="18"/>
  <c r="K15" i="18"/>
  <c r="K14" i="18"/>
  <c r="K13" i="18"/>
  <c r="K12" i="18"/>
  <c r="K11" i="18"/>
  <c r="K8" i="17"/>
  <c r="K8" i="18"/>
  <c r="L7" i="17"/>
  <c r="L7" i="18"/>
  <c r="L31" i="17" l="1"/>
  <c r="L30" i="17"/>
  <c r="L29" i="17"/>
  <c r="L27" i="17"/>
  <c r="L26" i="17"/>
  <c r="L25" i="17"/>
  <c r="L24" i="17"/>
  <c r="L23" i="17"/>
  <c r="L21" i="17"/>
  <c r="L20" i="17"/>
  <c r="L19" i="17"/>
  <c r="L18" i="17"/>
  <c r="L17" i="17"/>
  <c r="L15" i="17"/>
  <c r="L14" i="17"/>
  <c r="L13" i="17"/>
  <c r="L12" i="17"/>
  <c r="L11" i="17"/>
  <c r="L31" i="18"/>
  <c r="L30" i="18"/>
  <c r="L29" i="18"/>
  <c r="L27" i="18"/>
  <c r="L26" i="18"/>
  <c r="L25" i="18"/>
  <c r="L24" i="18"/>
  <c r="L23" i="18"/>
  <c r="L21" i="18"/>
  <c r="L20" i="18"/>
  <c r="L19" i="18"/>
  <c r="L18" i="18"/>
  <c r="L17" i="18"/>
  <c r="L15" i="18"/>
  <c r="L14" i="18"/>
  <c r="L13" i="18"/>
  <c r="L12" i="18"/>
  <c r="L11" i="18"/>
  <c r="L8" i="17"/>
  <c r="L8" i="18"/>
  <c r="M7" i="18"/>
  <c r="M7" i="17"/>
  <c r="M31" i="17" l="1"/>
  <c r="M30" i="17"/>
  <c r="M29" i="17"/>
  <c r="M27" i="17"/>
  <c r="M26" i="17"/>
  <c r="M25" i="17"/>
  <c r="M24" i="17"/>
  <c r="M23" i="17"/>
  <c r="M21" i="17"/>
  <c r="M20" i="17"/>
  <c r="M19" i="17"/>
  <c r="M18" i="17"/>
  <c r="M17" i="17"/>
  <c r="M15" i="17"/>
  <c r="M14" i="17"/>
  <c r="M13" i="17"/>
  <c r="M12" i="17"/>
  <c r="M11" i="17"/>
  <c r="M31" i="18"/>
  <c r="M30" i="18"/>
  <c r="M29" i="18"/>
  <c r="M27" i="18"/>
  <c r="M26" i="18"/>
  <c r="M25" i="18"/>
  <c r="M24" i="18"/>
  <c r="M23" i="18"/>
  <c r="M21" i="18"/>
  <c r="M20" i="18"/>
  <c r="M19" i="18"/>
  <c r="M18" i="18"/>
  <c r="M17" i="18"/>
  <c r="M15" i="18"/>
  <c r="M14" i="18"/>
  <c r="M13" i="18"/>
  <c r="M12" i="18"/>
  <c r="M11" i="18"/>
  <c r="M8" i="17"/>
  <c r="M8" i="18"/>
  <c r="N7" i="17"/>
  <c r="N7" i="18"/>
  <c r="N31" i="17" l="1"/>
  <c r="N30" i="17"/>
  <c r="N29" i="17"/>
  <c r="N27" i="17"/>
  <c r="N26" i="17"/>
  <c r="N25" i="17"/>
  <c r="N24" i="17"/>
  <c r="N23" i="17"/>
  <c r="N21" i="17"/>
  <c r="N20" i="17"/>
  <c r="N19" i="17"/>
  <c r="N18" i="17"/>
  <c r="N17" i="17"/>
  <c r="N15" i="17"/>
  <c r="N14" i="17"/>
  <c r="N13" i="17"/>
  <c r="N12" i="17"/>
  <c r="N11" i="17"/>
  <c r="N31" i="18"/>
  <c r="N30" i="18"/>
  <c r="N29" i="18"/>
  <c r="N27" i="18"/>
  <c r="N26" i="18"/>
  <c r="N25" i="18"/>
  <c r="N24" i="18"/>
  <c r="N23" i="18"/>
  <c r="N21" i="18"/>
  <c r="N20" i="18"/>
  <c r="N19" i="18"/>
  <c r="N18" i="18"/>
  <c r="N17" i="18"/>
  <c r="N15" i="18"/>
  <c r="N14" i="18"/>
  <c r="N13" i="18"/>
  <c r="N12" i="18"/>
  <c r="N11" i="18"/>
  <c r="N8" i="17"/>
  <c r="N8" i="18"/>
  <c r="O7" i="17"/>
  <c r="O7" i="18"/>
  <c r="O8" i="17" l="1"/>
  <c r="O31" i="17"/>
  <c r="O30" i="17"/>
  <c r="O29" i="17"/>
  <c r="O27" i="17"/>
  <c r="O26" i="17"/>
  <c r="O25" i="17"/>
  <c r="O24" i="17"/>
  <c r="O23" i="17"/>
  <c r="O21" i="17"/>
  <c r="O20" i="17"/>
  <c r="O19" i="17"/>
  <c r="O18" i="17"/>
  <c r="O17" i="17"/>
  <c r="O15" i="17"/>
  <c r="O14" i="17"/>
  <c r="O13" i="17"/>
  <c r="O12" i="17"/>
  <c r="O11" i="17"/>
  <c r="O8" i="18"/>
  <c r="O31" i="18"/>
  <c r="O30" i="18"/>
  <c r="O29" i="18"/>
  <c r="O27" i="18"/>
  <c r="O26" i="18"/>
  <c r="O25" i="18"/>
  <c r="O24" i="18"/>
  <c r="O23" i="18"/>
  <c r="O21" i="18"/>
  <c r="O20" i="18"/>
  <c r="O19" i="18"/>
  <c r="O18" i="18"/>
  <c r="O17" i="18"/>
  <c r="O15" i="18"/>
  <c r="O14" i="18"/>
  <c r="O13" i="18"/>
  <c r="O12" i="18"/>
  <c r="O11" i="18"/>
  <c r="O6" i="17"/>
  <c r="O6" i="18"/>
  <c r="P7" i="17"/>
  <c r="P7" i="18"/>
  <c r="P31" i="17" l="1"/>
  <c r="P30" i="17"/>
  <c r="P29" i="17"/>
  <c r="P27" i="17"/>
  <c r="P26" i="17"/>
  <c r="P25" i="17"/>
  <c r="P24" i="17"/>
  <c r="P23" i="17"/>
  <c r="P21" i="17"/>
  <c r="P20" i="17"/>
  <c r="P19" i="17"/>
  <c r="P18" i="17"/>
  <c r="P17" i="17"/>
  <c r="P15" i="17"/>
  <c r="P14" i="17"/>
  <c r="P13" i="17"/>
  <c r="P12" i="17"/>
  <c r="P11" i="17"/>
  <c r="P31" i="18"/>
  <c r="P30" i="18"/>
  <c r="P29" i="18"/>
  <c r="P27" i="18"/>
  <c r="P26" i="18"/>
  <c r="P25" i="18"/>
  <c r="P24" i="18"/>
  <c r="P23" i="18"/>
  <c r="P21" i="18"/>
  <c r="P20" i="18"/>
  <c r="P19" i="18"/>
  <c r="P18" i="18"/>
  <c r="P17" i="18"/>
  <c r="P15" i="18"/>
  <c r="P14" i="18"/>
  <c r="P13" i="18"/>
  <c r="P12" i="18"/>
  <c r="P11" i="18"/>
  <c r="P8" i="17"/>
  <c r="P8" i="18"/>
  <c r="Q7" i="17"/>
  <c r="Q7" i="18"/>
  <c r="Q31" i="17" l="1"/>
  <c r="Q30" i="17"/>
  <c r="Q29" i="17"/>
  <c r="Q27" i="17"/>
  <c r="Q26" i="17"/>
  <c r="Q25" i="17"/>
  <c r="Q24" i="17"/>
  <c r="Q23" i="17"/>
  <c r="Q21" i="17"/>
  <c r="Q20" i="17"/>
  <c r="Q19" i="17"/>
  <c r="Q18" i="17"/>
  <c r="Q17" i="17"/>
  <c r="Q15" i="17"/>
  <c r="Q14" i="17"/>
  <c r="Q13" i="17"/>
  <c r="Q12" i="17"/>
  <c r="Q11" i="17"/>
  <c r="Q31" i="18"/>
  <c r="Q30" i="18"/>
  <c r="Q29" i="18"/>
  <c r="Q27" i="18"/>
  <c r="Q26" i="18"/>
  <c r="Q25" i="18"/>
  <c r="Q24" i="18"/>
  <c r="Q23" i="18"/>
  <c r="Q21" i="18"/>
  <c r="Q20" i="18"/>
  <c r="Q19" i="18"/>
  <c r="Q18" i="18"/>
  <c r="Q17" i="18"/>
  <c r="Q15" i="18"/>
  <c r="Q14" i="18"/>
  <c r="Q13" i="18"/>
  <c r="Q12" i="18"/>
  <c r="Q11" i="18"/>
  <c r="Q8" i="17"/>
  <c r="Q8" i="18"/>
  <c r="R7" i="17"/>
  <c r="R7" i="18"/>
  <c r="R31" i="17" l="1"/>
  <c r="R30" i="17"/>
  <c r="R29" i="17"/>
  <c r="R27" i="17"/>
  <c r="R26" i="17"/>
  <c r="R25" i="17"/>
  <c r="R24" i="17"/>
  <c r="R23" i="17"/>
  <c r="R21" i="17"/>
  <c r="R20" i="17"/>
  <c r="R19" i="17"/>
  <c r="R18" i="17"/>
  <c r="R17" i="17"/>
  <c r="R15" i="17"/>
  <c r="R14" i="17"/>
  <c r="R13" i="17"/>
  <c r="R12" i="17"/>
  <c r="R11" i="17"/>
  <c r="R31" i="18"/>
  <c r="R30" i="18"/>
  <c r="R29" i="18"/>
  <c r="R27" i="18"/>
  <c r="R26" i="18"/>
  <c r="R25" i="18"/>
  <c r="R24" i="18"/>
  <c r="R23" i="18"/>
  <c r="R21" i="18"/>
  <c r="R20" i="18"/>
  <c r="R19" i="18"/>
  <c r="R18" i="18"/>
  <c r="R17" i="18"/>
  <c r="R15" i="18"/>
  <c r="R14" i="18"/>
  <c r="R13" i="18"/>
  <c r="R12" i="18"/>
  <c r="R11" i="18"/>
  <c r="R8" i="17"/>
  <c r="R8" i="18"/>
  <c r="S7" i="17"/>
  <c r="S7" i="18"/>
  <c r="S31" i="17" l="1"/>
  <c r="S30" i="17"/>
  <c r="S29" i="17"/>
  <c r="S27" i="17"/>
  <c r="S26" i="17"/>
  <c r="S25" i="17"/>
  <c r="S24" i="17"/>
  <c r="S23" i="17"/>
  <c r="S21" i="17"/>
  <c r="S20" i="17"/>
  <c r="S19" i="17"/>
  <c r="S18" i="17"/>
  <c r="S17" i="17"/>
  <c r="S15" i="17"/>
  <c r="S14" i="17"/>
  <c r="S13" i="17"/>
  <c r="S12" i="17"/>
  <c r="S11" i="17"/>
  <c r="S31" i="18"/>
  <c r="S30" i="18"/>
  <c r="S29" i="18"/>
  <c r="S27" i="18"/>
  <c r="S26" i="18"/>
  <c r="S25" i="18"/>
  <c r="S24" i="18"/>
  <c r="S23" i="18"/>
  <c r="S21" i="18"/>
  <c r="S20" i="18"/>
  <c r="S19" i="18"/>
  <c r="S18" i="18"/>
  <c r="S17" i="18"/>
  <c r="S15" i="18"/>
  <c r="S14" i="18"/>
  <c r="S13" i="18"/>
  <c r="S12" i="18"/>
  <c r="S11" i="18"/>
  <c r="S8" i="17"/>
  <c r="S8" i="18"/>
  <c r="T7" i="17"/>
  <c r="T7" i="18"/>
  <c r="T31" i="17" l="1"/>
  <c r="T30" i="17"/>
  <c r="T29" i="17"/>
  <c r="T27" i="17"/>
  <c r="T26" i="17"/>
  <c r="T25" i="17"/>
  <c r="T24" i="17"/>
  <c r="T23" i="17"/>
  <c r="T21" i="17"/>
  <c r="T20" i="17"/>
  <c r="T19" i="17"/>
  <c r="T18" i="17"/>
  <c r="T17" i="17"/>
  <c r="T15" i="17"/>
  <c r="T14" i="17"/>
  <c r="T13" i="17"/>
  <c r="T12" i="17"/>
  <c r="T11" i="17"/>
  <c r="T31" i="18"/>
  <c r="T30" i="18"/>
  <c r="T29" i="18"/>
  <c r="T27" i="18"/>
  <c r="T26" i="18"/>
  <c r="T25" i="18"/>
  <c r="T24" i="18"/>
  <c r="T23" i="18"/>
  <c r="T21" i="18"/>
  <c r="T20" i="18"/>
  <c r="T19" i="18"/>
  <c r="T18" i="18"/>
  <c r="T17" i="18"/>
  <c r="T15" i="18"/>
  <c r="T14" i="18"/>
  <c r="T13" i="18"/>
  <c r="T12" i="18"/>
  <c r="T11" i="18"/>
  <c r="T8" i="17"/>
  <c r="T8" i="18"/>
  <c r="U7" i="17"/>
  <c r="U7" i="18"/>
  <c r="U31" i="17" l="1"/>
  <c r="U30" i="17"/>
  <c r="U29" i="17"/>
  <c r="U27" i="17"/>
  <c r="U26" i="17"/>
  <c r="U25" i="17"/>
  <c r="U24" i="17"/>
  <c r="U23" i="17"/>
  <c r="U21" i="17"/>
  <c r="U20" i="17"/>
  <c r="U19" i="17"/>
  <c r="U18" i="17"/>
  <c r="U17" i="17"/>
  <c r="U15" i="17"/>
  <c r="U14" i="17"/>
  <c r="U13" i="17"/>
  <c r="U12" i="17"/>
  <c r="U11" i="17"/>
  <c r="U31" i="18"/>
  <c r="U30" i="18"/>
  <c r="U29" i="18"/>
  <c r="U27" i="18"/>
  <c r="U26" i="18"/>
  <c r="U25" i="18"/>
  <c r="U24" i="18"/>
  <c r="U23" i="18"/>
  <c r="U21" i="18"/>
  <c r="U20" i="18"/>
  <c r="U19" i="18"/>
  <c r="U18" i="18"/>
  <c r="U17" i="18"/>
  <c r="U15" i="18"/>
  <c r="U14" i="18"/>
  <c r="U13" i="18"/>
  <c r="U12" i="18"/>
  <c r="U11" i="18"/>
  <c r="U8" i="17"/>
  <c r="U8" i="18"/>
  <c r="V7" i="17"/>
  <c r="V7" i="18"/>
  <c r="V8" i="17" l="1"/>
  <c r="V31" i="17"/>
  <c r="V30" i="17"/>
  <c r="V29" i="17"/>
  <c r="V27" i="17"/>
  <c r="V26" i="17"/>
  <c r="V25" i="17"/>
  <c r="V24" i="17"/>
  <c r="V23" i="17"/>
  <c r="V21" i="17"/>
  <c r="V20" i="17"/>
  <c r="V19" i="17"/>
  <c r="V18" i="17"/>
  <c r="V17" i="17"/>
  <c r="V15" i="17"/>
  <c r="V14" i="17"/>
  <c r="V13" i="17"/>
  <c r="V12" i="17"/>
  <c r="V11" i="17"/>
  <c r="V8" i="18"/>
  <c r="V31" i="18"/>
  <c r="V30" i="18"/>
  <c r="V29" i="18"/>
  <c r="V27" i="18"/>
  <c r="V26" i="18"/>
  <c r="V25" i="18"/>
  <c r="V24" i="18"/>
  <c r="V23" i="18"/>
  <c r="V21" i="18"/>
  <c r="V20" i="18"/>
  <c r="V19" i="18"/>
  <c r="V18" i="18"/>
  <c r="V17" i="18"/>
  <c r="V15" i="18"/>
  <c r="V14" i="18"/>
  <c r="V13" i="18"/>
  <c r="V12" i="18"/>
  <c r="V11" i="18"/>
  <c r="V6" i="17"/>
  <c r="V6" i="18"/>
  <c r="W7" i="17"/>
  <c r="W7" i="18"/>
  <c r="W31" i="17" l="1"/>
  <c r="W30" i="17"/>
  <c r="W29" i="17"/>
  <c r="W27" i="17"/>
  <c r="W26" i="17"/>
  <c r="W25" i="17"/>
  <c r="W24" i="17"/>
  <c r="W23" i="17"/>
  <c r="W21" i="17"/>
  <c r="W20" i="17"/>
  <c r="W19" i="17"/>
  <c r="W18" i="17"/>
  <c r="W17" i="17"/>
  <c r="W15" i="17"/>
  <c r="W14" i="17"/>
  <c r="W13" i="17"/>
  <c r="W12" i="17"/>
  <c r="W11" i="17"/>
  <c r="W31" i="18"/>
  <c r="W30" i="18"/>
  <c r="W29" i="18"/>
  <c r="W27" i="18"/>
  <c r="W26" i="18"/>
  <c r="W25" i="18"/>
  <c r="W24" i="18"/>
  <c r="W23" i="18"/>
  <c r="W21" i="18"/>
  <c r="W20" i="18"/>
  <c r="W19" i="18"/>
  <c r="W18" i="18"/>
  <c r="W17" i="18"/>
  <c r="W15" i="18"/>
  <c r="W14" i="18"/>
  <c r="W13" i="18"/>
  <c r="W12" i="18"/>
  <c r="W11" i="18"/>
  <c r="W8" i="17"/>
  <c r="W8" i="18"/>
  <c r="X7" i="17"/>
  <c r="X7" i="18"/>
  <c r="X31" i="17" l="1"/>
  <c r="X30" i="17"/>
  <c r="X29" i="17"/>
  <c r="X27" i="17"/>
  <c r="X26" i="17"/>
  <c r="X25" i="17"/>
  <c r="X24" i="17"/>
  <c r="X23" i="17"/>
  <c r="X21" i="17"/>
  <c r="X20" i="17"/>
  <c r="X19" i="17"/>
  <c r="X18" i="17"/>
  <c r="X17" i="17"/>
  <c r="X15" i="17"/>
  <c r="X14" i="17"/>
  <c r="X13" i="17"/>
  <c r="X12" i="17"/>
  <c r="X11" i="17"/>
  <c r="X31" i="18"/>
  <c r="X30" i="18"/>
  <c r="X29" i="18"/>
  <c r="X27" i="18"/>
  <c r="X26" i="18"/>
  <c r="X25" i="18"/>
  <c r="X24" i="18"/>
  <c r="X23" i="18"/>
  <c r="X21" i="18"/>
  <c r="X20" i="18"/>
  <c r="X19" i="18"/>
  <c r="X18" i="18"/>
  <c r="X17" i="18"/>
  <c r="X15" i="18"/>
  <c r="X14" i="18"/>
  <c r="X13" i="18"/>
  <c r="X12" i="18"/>
  <c r="X11" i="18"/>
  <c r="X8" i="17"/>
  <c r="X8" i="18"/>
  <c r="Y7" i="17"/>
  <c r="Y7" i="18"/>
  <c r="Y31" i="17" l="1"/>
  <c r="Y30" i="17"/>
  <c r="Y29" i="17"/>
  <c r="Y27" i="17"/>
  <c r="Y26" i="17"/>
  <c r="Y25" i="17"/>
  <c r="Y24" i="17"/>
  <c r="Y23" i="17"/>
  <c r="Y21" i="17"/>
  <c r="Y20" i="17"/>
  <c r="Y19" i="17"/>
  <c r="Y18" i="17"/>
  <c r="Y17" i="17"/>
  <c r="Y15" i="17"/>
  <c r="Y14" i="17"/>
  <c r="Y13" i="17"/>
  <c r="Y12" i="17"/>
  <c r="Y11" i="17"/>
  <c r="Y31" i="18"/>
  <c r="Y30" i="18"/>
  <c r="Y29" i="18"/>
  <c r="Y27" i="18"/>
  <c r="Y26" i="18"/>
  <c r="Y25" i="18"/>
  <c r="Y24" i="18"/>
  <c r="Y23" i="18"/>
  <c r="Y21" i="18"/>
  <c r="Y20" i="18"/>
  <c r="Y19" i="18"/>
  <c r="Y18" i="18"/>
  <c r="Y17" i="18"/>
  <c r="Y15" i="18"/>
  <c r="Y14" i="18"/>
  <c r="Y13" i="18"/>
  <c r="Y12" i="18"/>
  <c r="Y11" i="18"/>
  <c r="Y8" i="17"/>
  <c r="Y8" i="18"/>
  <c r="Z7" i="17"/>
  <c r="Z7" i="18"/>
  <c r="Z31" i="17" l="1"/>
  <c r="Z30" i="17"/>
  <c r="Z29" i="17"/>
  <c r="Z27" i="17"/>
  <c r="Z26" i="17"/>
  <c r="Z25" i="17"/>
  <c r="Z24" i="17"/>
  <c r="Z23" i="17"/>
  <c r="Z21" i="17"/>
  <c r="Z20" i="17"/>
  <c r="Z19" i="17"/>
  <c r="Z18" i="17"/>
  <c r="Z17" i="17"/>
  <c r="Z15" i="17"/>
  <c r="Z14" i="17"/>
  <c r="Z13" i="17"/>
  <c r="Z12" i="17"/>
  <c r="Z11" i="17"/>
  <c r="Z31" i="18"/>
  <c r="Z30" i="18"/>
  <c r="Z29" i="18"/>
  <c r="Z27" i="18"/>
  <c r="Z26" i="18"/>
  <c r="Z25" i="18"/>
  <c r="Z24" i="18"/>
  <c r="Z23" i="18"/>
  <c r="Z21" i="18"/>
  <c r="Z20" i="18"/>
  <c r="Z19" i="18"/>
  <c r="Z18" i="18"/>
  <c r="Z17" i="18"/>
  <c r="Z15" i="18"/>
  <c r="Z14" i="18"/>
  <c r="Z13" i="18"/>
  <c r="Z12" i="18"/>
  <c r="Z11" i="18"/>
  <c r="Z8" i="17"/>
  <c r="Z8" i="18"/>
  <c r="AA7" i="17"/>
  <c r="AA7" i="18"/>
  <c r="AA31" i="17" l="1"/>
  <c r="AA30" i="17"/>
  <c r="AA29" i="17"/>
  <c r="AA27" i="17"/>
  <c r="AA26" i="17"/>
  <c r="AA25" i="17"/>
  <c r="AA24" i="17"/>
  <c r="AA23" i="17"/>
  <c r="AA21" i="17"/>
  <c r="AA20" i="17"/>
  <c r="AA19" i="17"/>
  <c r="AA18" i="17"/>
  <c r="AA17" i="17"/>
  <c r="AA15" i="17"/>
  <c r="AA14" i="17"/>
  <c r="AA13" i="17"/>
  <c r="AA12" i="17"/>
  <c r="AA11" i="17"/>
  <c r="AA31" i="18"/>
  <c r="AA30" i="18"/>
  <c r="AA29" i="18"/>
  <c r="AA27" i="18"/>
  <c r="AA26" i="18"/>
  <c r="AA25" i="18"/>
  <c r="AA24" i="18"/>
  <c r="AA23" i="18"/>
  <c r="AA21" i="18"/>
  <c r="AA20" i="18"/>
  <c r="AA19" i="18"/>
  <c r="AA18" i="18"/>
  <c r="AA17" i="18"/>
  <c r="AA15" i="18"/>
  <c r="AA14" i="18"/>
  <c r="AA13" i="18"/>
  <c r="AA12" i="18"/>
  <c r="AA11" i="18"/>
  <c r="AA8" i="17"/>
  <c r="AA8" i="18"/>
  <c r="AB7" i="17"/>
  <c r="AB7" i="18"/>
  <c r="AB31" i="17" l="1"/>
  <c r="AB30" i="17"/>
  <c r="AB29" i="17"/>
  <c r="AB27" i="17"/>
  <c r="AB26" i="17"/>
  <c r="AB25" i="17"/>
  <c r="AB24" i="17"/>
  <c r="AB23" i="17"/>
  <c r="AB21" i="17"/>
  <c r="AB20" i="17"/>
  <c r="AB19" i="17"/>
  <c r="AB18" i="17"/>
  <c r="AB17" i="17"/>
  <c r="AB15" i="17"/>
  <c r="AB14" i="17"/>
  <c r="AB13" i="17"/>
  <c r="AB12" i="17"/>
  <c r="AB11" i="17"/>
  <c r="AB31" i="18"/>
  <c r="AB30" i="18"/>
  <c r="AB29" i="18"/>
  <c r="AB27" i="18"/>
  <c r="AB26" i="18"/>
  <c r="AB25" i="18"/>
  <c r="AB24" i="18"/>
  <c r="AB23" i="18"/>
  <c r="AB21" i="18"/>
  <c r="AB20" i="18"/>
  <c r="AB19" i="18"/>
  <c r="AB18" i="18"/>
  <c r="AB17" i="18"/>
  <c r="AB15" i="18"/>
  <c r="AB14" i="18"/>
  <c r="AB13" i="18"/>
  <c r="AB12" i="18"/>
  <c r="AB11" i="18"/>
  <c r="AB8" i="17"/>
  <c r="AB8" i="18"/>
  <c r="AC7" i="17"/>
  <c r="AC7" i="18"/>
  <c r="AC8" i="17" l="1"/>
  <c r="AC31" i="17"/>
  <c r="AC30" i="17"/>
  <c r="AC29" i="17"/>
  <c r="AC27" i="17"/>
  <c r="AC26" i="17"/>
  <c r="AC25" i="17"/>
  <c r="AC24" i="17"/>
  <c r="AC23" i="17"/>
  <c r="AC21" i="17"/>
  <c r="AC20" i="17"/>
  <c r="AC19" i="17"/>
  <c r="AC18" i="17"/>
  <c r="AC17" i="17"/>
  <c r="AC15" i="17"/>
  <c r="AC14" i="17"/>
  <c r="AC13" i="17"/>
  <c r="AC12" i="17"/>
  <c r="AC11" i="17"/>
  <c r="AC8" i="18"/>
  <c r="AC31" i="18"/>
  <c r="AC30" i="18"/>
  <c r="AC29" i="18"/>
  <c r="AC27" i="18"/>
  <c r="AC26" i="18"/>
  <c r="AC25" i="18"/>
  <c r="AC24" i="18"/>
  <c r="AC23" i="18"/>
  <c r="AC21" i="18"/>
  <c r="AC20" i="18"/>
  <c r="AC19" i="18"/>
  <c r="AC18" i="18"/>
  <c r="AC17" i="18"/>
  <c r="AC15" i="18"/>
  <c r="AC14" i="18"/>
  <c r="AC13" i="18"/>
  <c r="AC12" i="18"/>
  <c r="AC11" i="18"/>
  <c r="AC6" i="17"/>
  <c r="AC6" i="18"/>
  <c r="AD7" i="17"/>
  <c r="AD7" i="18"/>
  <c r="AD31" i="17" l="1"/>
  <c r="AD30" i="17"/>
  <c r="AD29" i="17"/>
  <c r="AD27" i="17"/>
  <c r="AD26" i="17"/>
  <c r="AD25" i="17"/>
  <c r="AD24" i="17"/>
  <c r="AD23" i="17"/>
  <c r="AD21" i="17"/>
  <c r="AD20" i="17"/>
  <c r="AD19" i="17"/>
  <c r="AD18" i="17"/>
  <c r="AD17" i="17"/>
  <c r="AD15" i="17"/>
  <c r="AD14" i="17"/>
  <c r="AD13" i="17"/>
  <c r="AD12" i="17"/>
  <c r="AD11" i="17"/>
  <c r="AD31" i="18"/>
  <c r="AD30" i="18"/>
  <c r="AD29" i="18"/>
  <c r="AD27" i="18"/>
  <c r="AD26" i="18"/>
  <c r="AD25" i="18"/>
  <c r="AD24" i="18"/>
  <c r="AD23" i="18"/>
  <c r="AD21" i="18"/>
  <c r="AD20" i="18"/>
  <c r="AD19" i="18"/>
  <c r="AD18" i="18"/>
  <c r="AD17" i="18"/>
  <c r="AD15" i="18"/>
  <c r="AD14" i="18"/>
  <c r="AD13" i="18"/>
  <c r="AD12" i="18"/>
  <c r="AD11" i="18"/>
  <c r="AD8" i="17"/>
  <c r="AD8" i="18"/>
  <c r="AE7" i="17"/>
  <c r="AE7" i="18"/>
  <c r="AE31" i="17" l="1"/>
  <c r="AE30" i="17"/>
  <c r="AE29" i="17"/>
  <c r="AE27" i="17"/>
  <c r="AE26" i="17"/>
  <c r="AE25" i="17"/>
  <c r="AE24" i="17"/>
  <c r="AE23" i="17"/>
  <c r="AE21" i="17"/>
  <c r="AE20" i="17"/>
  <c r="AE19" i="17"/>
  <c r="AE18" i="17"/>
  <c r="AE17" i="17"/>
  <c r="AE15" i="17"/>
  <c r="AE14" i="17"/>
  <c r="AE13" i="17"/>
  <c r="AE12" i="17"/>
  <c r="AE11" i="17"/>
  <c r="AE31" i="18"/>
  <c r="AE30" i="18"/>
  <c r="AE29" i="18"/>
  <c r="AE27" i="18"/>
  <c r="AE26" i="18"/>
  <c r="AE25" i="18"/>
  <c r="AE24" i="18"/>
  <c r="AE23" i="18"/>
  <c r="AE21" i="18"/>
  <c r="AE20" i="18"/>
  <c r="AE19" i="18"/>
  <c r="AE18" i="18"/>
  <c r="AE17" i="18"/>
  <c r="AE15" i="18"/>
  <c r="AE14" i="18"/>
  <c r="AE13" i="18"/>
  <c r="AE12" i="18"/>
  <c r="AE11" i="18"/>
  <c r="AE8" i="17"/>
  <c r="AE8" i="18"/>
  <c r="AF7" i="17"/>
  <c r="AF7" i="18"/>
  <c r="AF31" i="17" l="1"/>
  <c r="AF30" i="17"/>
  <c r="AF29" i="17"/>
  <c r="AF27" i="17"/>
  <c r="AF26" i="17"/>
  <c r="AF25" i="17"/>
  <c r="AF24" i="17"/>
  <c r="AF23" i="17"/>
  <c r="AF21" i="17"/>
  <c r="AF20" i="17"/>
  <c r="AF19" i="17"/>
  <c r="AF18" i="17"/>
  <c r="AF17" i="17"/>
  <c r="AF15" i="17"/>
  <c r="AF14" i="17"/>
  <c r="AF13" i="17"/>
  <c r="AF12" i="17"/>
  <c r="AF11" i="17"/>
  <c r="AF31" i="18"/>
  <c r="AF30" i="18"/>
  <c r="AF29" i="18"/>
  <c r="AF27" i="18"/>
  <c r="AF26" i="18"/>
  <c r="AF25" i="18"/>
  <c r="AF24" i="18"/>
  <c r="AF23" i="18"/>
  <c r="AF21" i="18"/>
  <c r="AF20" i="18"/>
  <c r="AF19" i="18"/>
  <c r="AF18" i="18"/>
  <c r="AF17" i="18"/>
  <c r="AF15" i="18"/>
  <c r="AF14" i="18"/>
  <c r="AF13" i="18"/>
  <c r="AF12" i="18"/>
  <c r="AF11" i="18"/>
  <c r="AF8" i="17"/>
  <c r="AF8" i="18"/>
  <c r="AG7" i="17"/>
  <c r="AG7" i="18"/>
  <c r="AG31" i="17" l="1"/>
  <c r="AG30" i="17"/>
  <c r="AG29" i="17"/>
  <c r="AG27" i="17"/>
  <c r="AG26" i="17"/>
  <c r="AG25" i="17"/>
  <c r="AG24" i="17"/>
  <c r="AG23" i="17"/>
  <c r="AG21" i="17"/>
  <c r="AG20" i="17"/>
  <c r="AG19" i="17"/>
  <c r="AG18" i="17"/>
  <c r="AG17" i="17"/>
  <c r="AG15" i="17"/>
  <c r="AG14" i="17"/>
  <c r="AG13" i="17"/>
  <c r="AG12" i="17"/>
  <c r="AG11" i="17"/>
  <c r="AG31" i="18"/>
  <c r="AG30" i="18"/>
  <c r="AG29" i="18"/>
  <c r="AG27" i="18"/>
  <c r="AG26" i="18"/>
  <c r="AG25" i="18"/>
  <c r="AG24" i="18"/>
  <c r="AG23" i="18"/>
  <c r="AG21" i="18"/>
  <c r="AG20" i="18"/>
  <c r="AG19" i="18"/>
  <c r="AG18" i="18"/>
  <c r="AG17" i="18"/>
  <c r="AG15" i="18"/>
  <c r="AG14" i="18"/>
  <c r="AG13" i="18"/>
  <c r="AG12" i="18"/>
  <c r="AG11" i="18"/>
  <c r="AG8" i="17"/>
  <c r="AG8" i="18"/>
  <c r="AH7" i="17"/>
  <c r="AH7" i="18"/>
  <c r="AH31" i="17" l="1"/>
  <c r="AH30" i="17"/>
  <c r="AH29" i="17"/>
  <c r="AH27" i="17"/>
  <c r="AH26" i="17"/>
  <c r="AH25" i="17"/>
  <c r="AH24" i="17"/>
  <c r="AH23" i="17"/>
  <c r="AH21" i="17"/>
  <c r="AH20" i="17"/>
  <c r="AH19" i="17"/>
  <c r="AH18" i="17"/>
  <c r="AH17" i="17"/>
  <c r="AH15" i="17"/>
  <c r="AH14" i="17"/>
  <c r="AH13" i="17"/>
  <c r="AH12" i="17"/>
  <c r="AH11" i="17"/>
  <c r="AH31" i="18"/>
  <c r="AH30" i="18"/>
  <c r="AH29" i="18"/>
  <c r="AH27" i="18"/>
  <c r="AH26" i="18"/>
  <c r="AH25" i="18"/>
  <c r="AH24" i="18"/>
  <c r="AH23" i="18"/>
  <c r="AH21" i="18"/>
  <c r="AH20" i="18"/>
  <c r="AH19" i="18"/>
  <c r="AH18" i="18"/>
  <c r="AH17" i="18"/>
  <c r="AH15" i="18"/>
  <c r="AH14" i="18"/>
  <c r="AH13" i="18"/>
  <c r="AH12" i="18"/>
  <c r="AH11" i="18"/>
  <c r="AH8" i="17"/>
  <c r="AH8" i="18"/>
  <c r="AI7" i="17"/>
  <c r="AI7" i="18"/>
  <c r="AI31" i="17" l="1"/>
  <c r="AI30" i="17"/>
  <c r="AI29" i="17"/>
  <c r="AI27" i="17"/>
  <c r="AI26" i="17"/>
  <c r="AI25" i="17"/>
  <c r="AI24" i="17"/>
  <c r="AI23" i="17"/>
  <c r="AI21" i="17"/>
  <c r="AI20" i="17"/>
  <c r="AI19" i="17"/>
  <c r="AI18" i="17"/>
  <c r="AI17" i="17"/>
  <c r="AI15" i="17"/>
  <c r="AI14" i="17"/>
  <c r="AI13" i="17"/>
  <c r="AI12" i="17"/>
  <c r="AI11" i="17"/>
  <c r="AI31" i="18"/>
  <c r="AI30" i="18"/>
  <c r="AI29" i="18"/>
  <c r="AI27" i="18"/>
  <c r="AI26" i="18"/>
  <c r="AI25" i="18"/>
  <c r="AI24" i="18"/>
  <c r="AI23" i="18"/>
  <c r="AI21" i="18"/>
  <c r="AI20" i="18"/>
  <c r="AI19" i="18"/>
  <c r="AI18" i="18"/>
  <c r="AI17" i="18"/>
  <c r="AI15" i="18"/>
  <c r="AI14" i="18"/>
  <c r="AI13" i="18"/>
  <c r="AI12" i="18"/>
  <c r="AI11" i="18"/>
  <c r="AI8" i="17"/>
  <c r="AI8" i="18"/>
  <c r="AJ7" i="17"/>
  <c r="AJ7" i="18"/>
  <c r="AJ8" i="17" l="1"/>
  <c r="AJ31" i="17"/>
  <c r="AJ30" i="17"/>
  <c r="AJ29" i="17"/>
  <c r="AJ27" i="17"/>
  <c r="AJ26" i="17"/>
  <c r="AJ25" i="17"/>
  <c r="AJ24" i="17"/>
  <c r="AJ23" i="17"/>
  <c r="AJ21" i="17"/>
  <c r="AJ20" i="17"/>
  <c r="AJ19" i="17"/>
  <c r="AJ18" i="17"/>
  <c r="AJ17" i="17"/>
  <c r="AJ15" i="17"/>
  <c r="AJ14" i="17"/>
  <c r="AJ13" i="17"/>
  <c r="AJ12" i="17"/>
  <c r="AJ11" i="17"/>
  <c r="AJ8" i="18"/>
  <c r="AJ31" i="18"/>
  <c r="AJ30" i="18"/>
  <c r="AJ29" i="18"/>
  <c r="AJ27" i="18"/>
  <c r="AJ26" i="18"/>
  <c r="AJ25" i="18"/>
  <c r="AJ24" i="18"/>
  <c r="AJ23" i="18"/>
  <c r="AJ21" i="18"/>
  <c r="AJ20" i="18"/>
  <c r="AJ19" i="18"/>
  <c r="AJ18" i="18"/>
  <c r="AJ17" i="18"/>
  <c r="AJ15" i="18"/>
  <c r="AJ14" i="18"/>
  <c r="AJ13" i="18"/>
  <c r="AJ12" i="18"/>
  <c r="AJ11" i="18"/>
  <c r="AJ6" i="17"/>
  <c r="AJ6" i="18"/>
  <c r="AK7" i="17"/>
  <c r="AK7" i="18"/>
  <c r="AK31" i="17" l="1"/>
  <c r="AK30" i="17"/>
  <c r="AK29" i="17"/>
  <c r="AK27" i="17"/>
  <c r="AK26" i="17"/>
  <c r="AK25" i="17"/>
  <c r="AK24" i="17"/>
  <c r="AK23" i="17"/>
  <c r="AK21" i="17"/>
  <c r="AK20" i="17"/>
  <c r="AK19" i="17"/>
  <c r="AK18" i="17"/>
  <c r="AK17" i="17"/>
  <c r="AK15" i="17"/>
  <c r="AK14" i="17"/>
  <c r="AK13" i="17"/>
  <c r="AK12" i="17"/>
  <c r="AK11" i="17"/>
  <c r="AK31" i="18"/>
  <c r="AK30" i="18"/>
  <c r="AK29" i="18"/>
  <c r="AK27" i="18"/>
  <c r="AK26" i="18"/>
  <c r="AK25" i="18"/>
  <c r="AK24" i="18"/>
  <c r="AK23" i="18"/>
  <c r="AK21" i="18"/>
  <c r="AK20" i="18"/>
  <c r="AK19" i="18"/>
  <c r="AK18" i="18"/>
  <c r="AK17" i="18"/>
  <c r="AK15" i="18"/>
  <c r="AK14" i="18"/>
  <c r="AK13" i="18"/>
  <c r="AK12" i="18"/>
  <c r="AK11" i="18"/>
  <c r="AK8" i="17"/>
  <c r="AK8" i="18"/>
  <c r="AL7" i="17"/>
  <c r="AL7" i="18"/>
  <c r="AL31" i="17" l="1"/>
  <c r="AL30" i="17"/>
  <c r="AL29" i="17"/>
  <c r="AL27" i="17"/>
  <c r="AL26" i="17"/>
  <c r="AL25" i="17"/>
  <c r="AL24" i="17"/>
  <c r="AL23" i="17"/>
  <c r="AL21" i="17"/>
  <c r="AL20" i="17"/>
  <c r="AL19" i="17"/>
  <c r="AL18" i="17"/>
  <c r="AL17" i="17"/>
  <c r="AL15" i="17"/>
  <c r="AL14" i="17"/>
  <c r="AL13" i="17"/>
  <c r="AL12" i="17"/>
  <c r="AL11" i="17"/>
  <c r="AL31" i="18"/>
  <c r="AL30" i="18"/>
  <c r="AL29" i="18"/>
  <c r="AL27" i="18"/>
  <c r="AL26" i="18"/>
  <c r="AL25" i="18"/>
  <c r="AL24" i="18"/>
  <c r="AL23" i="18"/>
  <c r="AL21" i="18"/>
  <c r="AL20" i="18"/>
  <c r="AL19" i="18"/>
  <c r="AL18" i="18"/>
  <c r="AL17" i="18"/>
  <c r="AL15" i="18"/>
  <c r="AL14" i="18"/>
  <c r="AL13" i="18"/>
  <c r="AL12" i="18"/>
  <c r="AL11" i="18"/>
  <c r="AL8" i="17"/>
  <c r="AL8" i="18"/>
  <c r="AM7" i="17"/>
  <c r="AM7" i="18"/>
  <c r="AM31" i="17" l="1"/>
  <c r="AM30" i="17"/>
  <c r="AM29" i="17"/>
  <c r="AM27" i="17"/>
  <c r="AM26" i="17"/>
  <c r="AM25" i="17"/>
  <c r="AM24" i="17"/>
  <c r="AM23" i="17"/>
  <c r="AM21" i="17"/>
  <c r="AM20" i="17"/>
  <c r="AM19" i="17"/>
  <c r="AM18" i="17"/>
  <c r="AM17" i="17"/>
  <c r="AM15" i="17"/>
  <c r="AM14" i="17"/>
  <c r="AM13" i="17"/>
  <c r="AM12" i="17"/>
  <c r="AM11" i="17"/>
  <c r="AM31" i="18"/>
  <c r="AM30" i="18"/>
  <c r="AM29" i="18"/>
  <c r="AM27" i="18"/>
  <c r="AM26" i="18"/>
  <c r="AM25" i="18"/>
  <c r="AM24" i="18"/>
  <c r="AM23" i="18"/>
  <c r="AM21" i="18"/>
  <c r="AM20" i="18"/>
  <c r="AM19" i="18"/>
  <c r="AM18" i="18"/>
  <c r="AM17" i="18"/>
  <c r="AM15" i="18"/>
  <c r="AM14" i="18"/>
  <c r="AM13" i="18"/>
  <c r="AM12" i="18"/>
  <c r="AM11" i="18"/>
  <c r="AM8" i="17"/>
  <c r="AM8" i="18"/>
  <c r="AN7" i="17"/>
  <c r="AN7" i="18"/>
  <c r="AN31" i="17" l="1"/>
  <c r="AN30" i="17"/>
  <c r="AN29" i="17"/>
  <c r="AN27" i="17"/>
  <c r="AN26" i="17"/>
  <c r="AN25" i="17"/>
  <c r="AN24" i="17"/>
  <c r="AN23" i="17"/>
  <c r="AN21" i="17"/>
  <c r="AN20" i="17"/>
  <c r="AN19" i="17"/>
  <c r="AN18" i="17"/>
  <c r="AN17" i="17"/>
  <c r="AN15" i="17"/>
  <c r="AN14" i="17"/>
  <c r="AN13" i="17"/>
  <c r="AN12" i="17"/>
  <c r="AN11" i="17"/>
  <c r="AN31" i="18"/>
  <c r="AN30" i="18"/>
  <c r="AN29" i="18"/>
  <c r="AN27" i="18"/>
  <c r="AN26" i="18"/>
  <c r="AN25" i="18"/>
  <c r="AN24" i="18"/>
  <c r="AN23" i="18"/>
  <c r="AN21" i="18"/>
  <c r="AN20" i="18"/>
  <c r="AN19" i="18"/>
  <c r="AN18" i="18"/>
  <c r="AN17" i="18"/>
  <c r="AN15" i="18"/>
  <c r="AN14" i="18"/>
  <c r="AN13" i="18"/>
  <c r="AN12" i="18"/>
  <c r="AN11" i="18"/>
  <c r="AN8" i="17"/>
  <c r="AN8" i="18"/>
  <c r="AO7" i="17"/>
  <c r="AO7" i="18"/>
  <c r="AO31" i="17" l="1"/>
  <c r="AO30" i="17"/>
  <c r="AO29" i="17"/>
  <c r="AO27" i="17"/>
  <c r="AO26" i="17"/>
  <c r="AO25" i="17"/>
  <c r="AO24" i="17"/>
  <c r="AO23" i="17"/>
  <c r="AO21" i="17"/>
  <c r="AO20" i="17"/>
  <c r="AO19" i="17"/>
  <c r="AO18" i="17"/>
  <c r="AO17" i="17"/>
  <c r="AO15" i="17"/>
  <c r="AO14" i="17"/>
  <c r="AO13" i="17"/>
  <c r="AO12" i="17"/>
  <c r="AO11" i="17"/>
  <c r="AO31" i="18"/>
  <c r="AO30" i="18"/>
  <c r="AO29" i="18"/>
  <c r="AO27" i="18"/>
  <c r="AO26" i="18"/>
  <c r="AO25" i="18"/>
  <c r="AO24" i="18"/>
  <c r="AO23" i="18"/>
  <c r="AO21" i="18"/>
  <c r="AO20" i="18"/>
  <c r="AO19" i="18"/>
  <c r="AO18" i="18"/>
  <c r="AO17" i="18"/>
  <c r="AO15" i="18"/>
  <c r="AO14" i="18"/>
  <c r="AO13" i="18"/>
  <c r="AO12" i="18"/>
  <c r="AO11" i="18"/>
  <c r="AO8" i="17"/>
  <c r="AO8" i="18"/>
  <c r="AP7" i="17"/>
  <c r="AP7" i="18"/>
  <c r="AP31" i="17" l="1"/>
  <c r="AP30" i="17"/>
  <c r="AP29" i="17"/>
  <c r="AP27" i="17"/>
  <c r="AP26" i="17"/>
  <c r="AP25" i="17"/>
  <c r="AP24" i="17"/>
  <c r="AP23" i="17"/>
  <c r="AP21" i="17"/>
  <c r="AP20" i="17"/>
  <c r="AP19" i="17"/>
  <c r="AP18" i="17"/>
  <c r="AP17" i="17"/>
  <c r="AP15" i="17"/>
  <c r="AP14" i="17"/>
  <c r="AP13" i="17"/>
  <c r="AP12" i="17"/>
  <c r="AP11" i="17"/>
  <c r="AP31" i="18"/>
  <c r="AP30" i="18"/>
  <c r="AP29" i="18"/>
  <c r="AP27" i="18"/>
  <c r="AP26" i="18"/>
  <c r="AP25" i="18"/>
  <c r="AP24" i="18"/>
  <c r="AP23" i="18"/>
  <c r="AP21" i="18"/>
  <c r="AP20" i="18"/>
  <c r="AP19" i="18"/>
  <c r="AP18" i="18"/>
  <c r="AP17" i="18"/>
  <c r="AP15" i="18"/>
  <c r="AP14" i="18"/>
  <c r="AP13" i="18"/>
  <c r="AP12" i="18"/>
  <c r="AP11" i="18"/>
  <c r="AP8" i="17"/>
  <c r="AP8" i="18"/>
  <c r="AQ7" i="17"/>
  <c r="AQ7" i="18"/>
  <c r="AQ8" i="17" l="1"/>
  <c r="AQ31" i="17"/>
  <c r="AQ30" i="17"/>
  <c r="AQ29" i="17"/>
  <c r="AQ27" i="17"/>
  <c r="AQ26" i="17"/>
  <c r="AQ25" i="17"/>
  <c r="AQ24" i="17"/>
  <c r="AQ23" i="17"/>
  <c r="AQ21" i="17"/>
  <c r="AQ20" i="17"/>
  <c r="AQ19" i="17"/>
  <c r="AQ18" i="17"/>
  <c r="AQ17" i="17"/>
  <c r="AQ15" i="17"/>
  <c r="AQ14" i="17"/>
  <c r="AQ13" i="17"/>
  <c r="AQ12" i="17"/>
  <c r="AQ11" i="17"/>
  <c r="AQ8" i="18"/>
  <c r="AQ31" i="18"/>
  <c r="AQ30" i="18"/>
  <c r="AQ29" i="18"/>
  <c r="AQ27" i="18"/>
  <c r="AQ26" i="18"/>
  <c r="AQ25" i="18"/>
  <c r="AQ24" i="18"/>
  <c r="AQ23" i="18"/>
  <c r="AQ21" i="18"/>
  <c r="AQ20" i="18"/>
  <c r="AQ19" i="18"/>
  <c r="AQ18" i="18"/>
  <c r="AQ17" i="18"/>
  <c r="AQ15" i="18"/>
  <c r="AQ14" i="18"/>
  <c r="AQ13" i="18"/>
  <c r="AQ12" i="18"/>
  <c r="AQ11" i="18"/>
  <c r="AQ6" i="17"/>
  <c r="AQ6" i="18"/>
  <c r="AR7" i="17"/>
  <c r="AR7" i="18"/>
  <c r="AS7" i="17"/>
  <c r="AS8" i="17" l="1"/>
  <c r="AS31" i="17"/>
  <c r="AS30" i="17"/>
  <c r="AS29" i="17"/>
  <c r="AS27" i="17"/>
  <c r="AS26" i="17"/>
  <c r="AS25" i="17"/>
  <c r="AS24" i="17"/>
  <c r="AS23" i="17"/>
  <c r="AS21" i="17"/>
  <c r="AS20" i="17"/>
  <c r="AS19" i="17"/>
  <c r="AS18" i="17"/>
  <c r="AS17" i="17"/>
  <c r="AS15" i="17"/>
  <c r="AS14" i="17"/>
  <c r="AS13" i="17"/>
  <c r="AS12" i="17"/>
  <c r="AS11" i="17"/>
  <c r="AR31" i="17"/>
  <c r="AR30" i="17"/>
  <c r="AR29" i="17"/>
  <c r="AR27" i="17"/>
  <c r="AR26" i="17"/>
  <c r="AR25" i="17"/>
  <c r="AR24" i="17"/>
  <c r="AR23" i="17"/>
  <c r="AR21" i="17"/>
  <c r="AR20" i="17"/>
  <c r="AR19" i="17"/>
  <c r="AR18" i="17"/>
  <c r="AR17" i="17"/>
  <c r="AR15" i="17"/>
  <c r="AR14" i="17"/>
  <c r="AR13" i="17"/>
  <c r="AR12" i="17"/>
  <c r="AR11" i="17"/>
  <c r="AR31" i="18"/>
  <c r="AR30" i="18"/>
  <c r="AR29" i="18"/>
  <c r="AR27" i="18"/>
  <c r="AR26" i="18"/>
  <c r="AR25" i="18"/>
  <c r="AR24" i="18"/>
  <c r="AR23" i="18"/>
  <c r="AR21" i="18"/>
  <c r="AR20" i="18"/>
  <c r="AR19" i="18"/>
  <c r="AR18" i="18"/>
  <c r="AR17" i="18"/>
  <c r="AR15" i="18"/>
  <c r="AR14" i="18"/>
  <c r="AR13" i="18"/>
  <c r="AR12" i="18"/>
  <c r="AR11" i="18"/>
  <c r="AR8" i="17"/>
  <c r="AR8" i="18"/>
  <c r="AS7" i="18"/>
  <c r="AT7" i="17"/>
  <c r="AT8" i="17" l="1"/>
  <c r="AT31" i="17"/>
  <c r="AT30" i="17"/>
  <c r="AT29" i="17"/>
  <c r="AT27" i="17"/>
  <c r="AT26" i="17"/>
  <c r="AT25" i="17"/>
  <c r="AT24" i="17"/>
  <c r="AT23" i="17"/>
  <c r="AT21" i="17"/>
  <c r="AT20" i="17"/>
  <c r="AT19" i="17"/>
  <c r="AT18" i="17"/>
  <c r="AT17" i="17"/>
  <c r="AT15" i="17"/>
  <c r="AT14" i="17"/>
  <c r="AT13" i="17"/>
  <c r="AT12" i="17"/>
  <c r="AT11" i="17"/>
  <c r="AS31" i="18"/>
  <c r="AS30" i="18"/>
  <c r="AS29" i="18"/>
  <c r="AS27" i="18"/>
  <c r="AS26" i="18"/>
  <c r="AS25" i="18"/>
  <c r="AS24" i="18"/>
  <c r="AS23" i="18"/>
  <c r="AS21" i="18"/>
  <c r="AS20" i="18"/>
  <c r="AS19" i="18"/>
  <c r="AS18" i="18"/>
  <c r="AS17" i="18"/>
  <c r="AS15" i="18"/>
  <c r="AS14" i="18"/>
  <c r="AS13" i="18"/>
  <c r="AS12" i="18"/>
  <c r="AS11" i="18"/>
  <c r="AS8" i="18"/>
  <c r="AT7" i="18"/>
  <c r="AU7" i="17"/>
  <c r="AU8" i="17" l="1"/>
  <c r="AU31" i="17"/>
  <c r="AU30" i="17"/>
  <c r="AU29" i="17"/>
  <c r="AU27" i="17"/>
  <c r="AU26" i="17"/>
  <c r="AU25" i="17"/>
  <c r="AU24" i="17"/>
  <c r="AU23" i="17"/>
  <c r="AU21" i="17"/>
  <c r="AU20" i="17"/>
  <c r="AU19" i="17"/>
  <c r="AU18" i="17"/>
  <c r="AU17" i="17"/>
  <c r="AU15" i="17"/>
  <c r="AU14" i="17"/>
  <c r="AU13" i="17"/>
  <c r="AU12" i="17"/>
  <c r="AU11" i="17"/>
  <c r="AT31" i="18"/>
  <c r="AT30" i="18"/>
  <c r="AT29" i="18"/>
  <c r="AT27" i="18"/>
  <c r="AT26" i="18"/>
  <c r="AT25" i="18"/>
  <c r="AT24" i="18"/>
  <c r="AT23" i="18"/>
  <c r="AT21" i="18"/>
  <c r="AT20" i="18"/>
  <c r="AT19" i="18"/>
  <c r="AT18" i="18"/>
  <c r="AT17" i="18"/>
  <c r="AT15" i="18"/>
  <c r="AT14" i="18"/>
  <c r="AT13" i="18"/>
  <c r="AT12" i="18"/>
  <c r="AT11" i="18"/>
  <c r="AT8" i="18"/>
  <c r="AU7" i="18"/>
  <c r="AV7" i="18"/>
  <c r="AV7" i="17"/>
  <c r="AV8" i="17" l="1"/>
  <c r="AV31" i="17"/>
  <c r="AV30" i="17"/>
  <c r="AV29" i="17"/>
  <c r="AV27" i="17"/>
  <c r="AV26" i="17"/>
  <c r="AV25" i="17"/>
  <c r="AV24" i="17"/>
  <c r="AV23" i="17"/>
  <c r="AV21" i="17"/>
  <c r="AV20" i="17"/>
  <c r="AV19" i="17"/>
  <c r="AV18" i="17"/>
  <c r="AV17" i="17"/>
  <c r="AV15" i="17"/>
  <c r="AV14" i="17"/>
  <c r="AV13" i="17"/>
  <c r="AV12" i="17"/>
  <c r="AV11" i="17"/>
  <c r="AV8" i="18"/>
  <c r="AV31" i="18"/>
  <c r="AV30" i="18"/>
  <c r="AV29" i="18"/>
  <c r="AV27" i="18"/>
  <c r="AV26" i="18"/>
  <c r="AV25" i="18"/>
  <c r="AV24" i="18"/>
  <c r="AV23" i="18"/>
  <c r="AV21" i="18"/>
  <c r="AV20" i="18"/>
  <c r="AV19" i="18"/>
  <c r="AV18" i="18"/>
  <c r="AV17" i="18"/>
  <c r="AV15" i="18"/>
  <c r="AV14" i="18"/>
  <c r="AV13" i="18"/>
  <c r="AV12" i="18"/>
  <c r="AV11" i="18"/>
  <c r="AU31" i="18"/>
  <c r="AU30" i="18"/>
  <c r="AU29" i="18"/>
  <c r="AU27" i="18"/>
  <c r="AU26" i="18"/>
  <c r="AU25" i="18"/>
  <c r="AU24" i="18"/>
  <c r="AU23" i="18"/>
  <c r="AU21" i="18"/>
  <c r="AU20" i="18"/>
  <c r="AU19" i="18"/>
  <c r="AU18" i="18"/>
  <c r="AU17" i="18"/>
  <c r="AU15" i="18"/>
  <c r="AU14" i="18"/>
  <c r="AU13" i="18"/>
  <c r="AU12" i="18"/>
  <c r="AU11" i="18"/>
  <c r="AU8" i="18"/>
  <c r="AW7" i="18"/>
  <c r="AW7" i="17"/>
  <c r="AW8" i="17" l="1"/>
  <c r="AW31" i="17"/>
  <c r="AW30" i="17"/>
  <c r="AW29" i="17"/>
  <c r="AW27" i="17"/>
  <c r="AW26" i="17"/>
  <c r="AW25" i="17"/>
  <c r="AW24" i="17"/>
  <c r="AW23" i="17"/>
  <c r="AW21" i="17"/>
  <c r="AW20" i="17"/>
  <c r="AW19" i="17"/>
  <c r="AW18" i="17"/>
  <c r="AW17" i="17"/>
  <c r="AW15" i="17"/>
  <c r="AW14" i="17"/>
  <c r="AW13" i="17"/>
  <c r="AW12" i="17"/>
  <c r="AW11" i="17"/>
  <c r="AW8" i="18"/>
  <c r="AW31" i="18"/>
  <c r="AW30" i="18"/>
  <c r="AW29" i="18"/>
  <c r="AW27" i="18"/>
  <c r="AW26" i="18"/>
  <c r="AW25" i="18"/>
  <c r="AW24" i="18"/>
  <c r="AW23" i="18"/>
  <c r="AW21" i="18"/>
  <c r="AW20" i="18"/>
  <c r="AW19" i="18"/>
  <c r="AW18" i="18"/>
  <c r="AW17" i="18"/>
  <c r="AW15" i="18"/>
  <c r="AW14" i="18"/>
  <c r="AW13" i="18"/>
  <c r="AW12" i="18"/>
  <c r="AW11" i="18"/>
  <c r="AX7" i="18"/>
  <c r="AX7" i="17"/>
  <c r="AX31" i="17" l="1"/>
  <c r="AX30" i="17"/>
  <c r="AX29" i="17"/>
  <c r="AX27" i="17"/>
  <c r="AX26" i="17"/>
  <c r="AX25" i="17"/>
  <c r="AX24" i="17"/>
  <c r="AX23" i="17"/>
  <c r="AX21" i="17"/>
  <c r="AX20" i="17"/>
  <c r="AX19" i="17"/>
  <c r="AX18" i="17"/>
  <c r="AX17" i="17"/>
  <c r="AX15" i="17"/>
  <c r="AX14" i="17"/>
  <c r="AX13" i="17"/>
  <c r="AX12" i="17"/>
  <c r="AX11" i="17"/>
  <c r="AX31" i="18"/>
  <c r="AX30" i="18"/>
  <c r="AX29" i="18"/>
  <c r="AX27" i="18"/>
  <c r="AX26" i="18"/>
  <c r="AX25" i="18"/>
  <c r="AX24" i="18"/>
  <c r="AX23" i="18"/>
  <c r="AX21" i="18"/>
  <c r="AX20" i="18"/>
  <c r="AX19" i="18"/>
  <c r="AX18" i="18"/>
  <c r="AX17" i="18"/>
  <c r="AX15" i="18"/>
  <c r="AX14" i="18"/>
  <c r="AX13" i="18"/>
  <c r="AX12" i="18"/>
  <c r="AX11" i="18"/>
  <c r="AX6" i="17"/>
  <c r="AX8" i="17"/>
  <c r="AX6" i="18"/>
  <c r="AX8" i="18"/>
  <c r="AY7" i="18"/>
  <c r="AY7" i="17"/>
  <c r="AY8" i="17" l="1"/>
  <c r="AY31" i="17"/>
  <c r="AY30" i="17"/>
  <c r="AY29" i="17"/>
  <c r="AY27" i="17"/>
  <c r="AY26" i="17"/>
  <c r="AY25" i="17"/>
  <c r="AY24" i="17"/>
  <c r="AY23" i="17"/>
  <c r="AY21" i="17"/>
  <c r="AY20" i="17"/>
  <c r="AY19" i="17"/>
  <c r="AY18" i="17"/>
  <c r="AY17" i="17"/>
  <c r="AY15" i="17"/>
  <c r="AY14" i="17"/>
  <c r="AY13" i="17"/>
  <c r="AY12" i="17"/>
  <c r="AY11" i="17"/>
  <c r="AY8" i="18"/>
  <c r="AY31" i="18"/>
  <c r="AY30" i="18"/>
  <c r="AY29" i="18"/>
  <c r="AY27" i="18"/>
  <c r="AY26" i="18"/>
  <c r="AY25" i="18"/>
  <c r="AY24" i="18"/>
  <c r="AY23" i="18"/>
  <c r="AY21" i="18"/>
  <c r="AY20" i="18"/>
  <c r="AY19" i="18"/>
  <c r="AY18" i="18"/>
  <c r="AY17" i="18"/>
  <c r="AY15" i="18"/>
  <c r="AY14" i="18"/>
  <c r="AY13" i="18"/>
  <c r="AY12" i="18"/>
  <c r="AY11" i="18"/>
  <c r="AZ7" i="18"/>
  <c r="AZ7" i="17"/>
  <c r="AZ8" i="17" l="1"/>
  <c r="AZ31" i="17"/>
  <c r="AZ30" i="17"/>
  <c r="AZ29" i="17"/>
  <c r="AZ27" i="17"/>
  <c r="AZ26" i="17"/>
  <c r="AZ25" i="17"/>
  <c r="AZ24" i="17"/>
  <c r="AZ23" i="17"/>
  <c r="AZ21" i="17"/>
  <c r="AZ20" i="17"/>
  <c r="AZ19" i="17"/>
  <c r="AZ18" i="17"/>
  <c r="AZ17" i="17"/>
  <c r="AZ15" i="17"/>
  <c r="AZ14" i="17"/>
  <c r="AZ13" i="17"/>
  <c r="AZ12" i="17"/>
  <c r="AZ11" i="17"/>
  <c r="AZ8" i="18"/>
  <c r="AZ31" i="18"/>
  <c r="AZ30" i="18"/>
  <c r="AZ29" i="18"/>
  <c r="AZ27" i="18"/>
  <c r="AZ26" i="18"/>
  <c r="AZ25" i="18"/>
  <c r="AZ24" i="18"/>
  <c r="AZ23" i="18"/>
  <c r="AZ21" i="18"/>
  <c r="AZ20" i="18"/>
  <c r="AZ19" i="18"/>
  <c r="AZ18" i="18"/>
  <c r="AZ17" i="18"/>
  <c r="AZ15" i="18"/>
  <c r="AZ14" i="18"/>
  <c r="AZ13" i="18"/>
  <c r="AZ12" i="18"/>
  <c r="AZ11" i="18"/>
  <c r="BA7" i="18"/>
  <c r="BA7" i="17"/>
  <c r="BA8" i="17" l="1"/>
  <c r="BA31" i="17"/>
  <c r="BA30" i="17"/>
  <c r="BA29" i="17"/>
  <c r="BA27" i="17"/>
  <c r="BA26" i="17"/>
  <c r="BA25" i="17"/>
  <c r="BA24" i="17"/>
  <c r="BA23" i="17"/>
  <c r="BA21" i="17"/>
  <c r="BA20" i="17"/>
  <c r="BA19" i="17"/>
  <c r="BA18" i="17"/>
  <c r="BA17" i="17"/>
  <c r="BA15" i="17"/>
  <c r="BA14" i="17"/>
  <c r="BA13" i="17"/>
  <c r="BA12" i="17"/>
  <c r="BA11" i="17"/>
  <c r="BA8" i="18"/>
  <c r="BA31" i="18"/>
  <c r="BA30" i="18"/>
  <c r="BA29" i="18"/>
  <c r="BA27" i="18"/>
  <c r="BA26" i="18"/>
  <c r="BA25" i="18"/>
  <c r="BA24" i="18"/>
  <c r="BA23" i="18"/>
  <c r="BA21" i="18"/>
  <c r="BA20" i="18"/>
  <c r="BA19" i="18"/>
  <c r="BA18" i="18"/>
  <c r="BA17" i="18"/>
  <c r="BA15" i="18"/>
  <c r="BA14" i="18"/>
  <c r="BA13" i="18"/>
  <c r="BA12" i="18"/>
  <c r="BA11" i="18"/>
  <c r="BB7" i="18"/>
  <c r="BB7" i="17"/>
  <c r="BB8" i="17" l="1"/>
  <c r="BB31" i="17"/>
  <c r="BB30" i="17"/>
  <c r="BB29" i="17"/>
  <c r="BB27" i="17"/>
  <c r="BB26" i="17"/>
  <c r="BB25" i="17"/>
  <c r="BB24" i="17"/>
  <c r="BB23" i="17"/>
  <c r="BB21" i="17"/>
  <c r="BB20" i="17"/>
  <c r="BB19" i="17"/>
  <c r="BB18" i="17"/>
  <c r="BB17" i="17"/>
  <c r="BB15" i="17"/>
  <c r="BB14" i="17"/>
  <c r="BB13" i="17"/>
  <c r="BB12" i="17"/>
  <c r="BB11" i="17"/>
  <c r="BB8" i="18"/>
  <c r="BB31" i="18"/>
  <c r="BB30" i="18"/>
  <c r="BB29" i="18"/>
  <c r="BB27" i="18"/>
  <c r="BB26" i="18"/>
  <c r="BB25" i="18"/>
  <c r="BB24" i="18"/>
  <c r="BB23" i="18"/>
  <c r="BB21" i="18"/>
  <c r="BB20" i="18"/>
  <c r="BB19" i="18"/>
  <c r="BB18" i="18"/>
  <c r="BB17" i="18"/>
  <c r="BB15" i="18"/>
  <c r="BB14" i="18"/>
  <c r="BB13" i="18"/>
  <c r="BB12" i="18"/>
  <c r="BB11" i="18"/>
  <c r="BC7" i="18"/>
  <c r="BC7" i="17"/>
  <c r="BC8" i="17" l="1"/>
  <c r="BC31" i="17"/>
  <c r="BC30" i="17"/>
  <c r="BC29" i="17"/>
  <c r="BC27" i="17"/>
  <c r="BC26" i="17"/>
  <c r="BC25" i="17"/>
  <c r="BC24" i="17"/>
  <c r="BC23" i="17"/>
  <c r="BC21" i="17"/>
  <c r="BC20" i="17"/>
  <c r="BC19" i="17"/>
  <c r="BC18" i="17"/>
  <c r="BC17" i="17"/>
  <c r="BC15" i="17"/>
  <c r="BC14" i="17"/>
  <c r="BC13" i="17"/>
  <c r="BC12" i="17"/>
  <c r="BC11" i="17"/>
  <c r="BC8" i="18"/>
  <c r="BC31" i="18"/>
  <c r="BC30" i="18"/>
  <c r="BC29" i="18"/>
  <c r="BC27" i="18"/>
  <c r="BC26" i="18"/>
  <c r="BC25" i="18"/>
  <c r="BC24" i="18"/>
  <c r="BC23" i="18"/>
  <c r="BC21" i="18"/>
  <c r="BC20" i="18"/>
  <c r="BC19" i="18"/>
  <c r="BC18" i="18"/>
  <c r="BC17" i="18"/>
  <c r="BC15" i="18"/>
  <c r="BC14" i="18"/>
  <c r="BC13" i="18"/>
  <c r="BC12" i="18"/>
  <c r="BC11" i="18"/>
  <c r="BD7" i="18"/>
  <c r="BD7" i="17"/>
  <c r="BD8" i="17" l="1"/>
  <c r="BD31" i="17"/>
  <c r="BD30" i="17"/>
  <c r="BD29" i="17"/>
  <c r="BD27" i="17"/>
  <c r="BD26" i="17"/>
  <c r="BD25" i="17"/>
  <c r="BD24" i="17"/>
  <c r="BD23" i="17"/>
  <c r="BD21" i="17"/>
  <c r="BD20" i="17"/>
  <c r="BD19" i="17"/>
  <c r="BD18" i="17"/>
  <c r="BD17" i="17"/>
  <c r="BD15" i="17"/>
  <c r="BD14" i="17"/>
  <c r="BD13" i="17"/>
  <c r="BD12" i="17"/>
  <c r="BD11" i="17"/>
  <c r="BD8" i="18"/>
  <c r="BD31" i="18"/>
  <c r="BD30" i="18"/>
  <c r="BD29" i="18"/>
  <c r="BD27" i="18"/>
  <c r="BD26" i="18"/>
  <c r="BD25" i="18"/>
  <c r="BD24" i="18"/>
  <c r="BD23" i="18"/>
  <c r="BD21" i="18"/>
  <c r="BD20" i="18"/>
  <c r="BD19" i="18"/>
  <c r="BD18" i="18"/>
  <c r="BD17" i="18"/>
  <c r="BD15" i="18"/>
  <c r="BD14" i="18"/>
  <c r="BD13" i="18"/>
  <c r="BD12" i="18"/>
  <c r="BD11" i="18"/>
  <c r="BE7" i="18"/>
  <c r="BE7" i="17"/>
  <c r="BE31" i="17" l="1"/>
  <c r="BE30" i="17"/>
  <c r="BE29" i="17"/>
  <c r="BE27" i="17"/>
  <c r="BE26" i="17"/>
  <c r="BE25" i="17"/>
  <c r="BE24" i="17"/>
  <c r="BE23" i="17"/>
  <c r="BE21" i="17"/>
  <c r="BE20" i="17"/>
  <c r="BE19" i="17"/>
  <c r="BE18" i="17"/>
  <c r="BE17" i="17"/>
  <c r="BE15" i="17"/>
  <c r="BE14" i="17"/>
  <c r="BE13" i="17"/>
  <c r="BE12" i="17"/>
  <c r="BE11" i="17"/>
  <c r="BE31" i="18"/>
  <c r="BE30" i="18"/>
  <c r="BE29" i="18"/>
  <c r="BE27" i="18"/>
  <c r="BE26" i="18"/>
  <c r="BE25" i="18"/>
  <c r="BE24" i="18"/>
  <c r="BE23" i="18"/>
  <c r="BE21" i="18"/>
  <c r="BE20" i="18"/>
  <c r="BE19" i="18"/>
  <c r="BE18" i="18"/>
  <c r="BE17" i="18"/>
  <c r="BE15" i="18"/>
  <c r="BE14" i="18"/>
  <c r="BE13" i="18"/>
  <c r="BE12" i="18"/>
  <c r="BE11" i="18"/>
  <c r="BE6" i="17"/>
  <c r="BE8" i="17"/>
  <c r="BE6" i="18"/>
  <c r="BE8" i="18"/>
  <c r="BF7" i="18"/>
  <c r="BF7" i="17"/>
  <c r="BF8" i="17" l="1"/>
  <c r="BF31" i="17"/>
  <c r="BF30" i="17"/>
  <c r="BF29" i="17"/>
  <c r="BF27" i="17"/>
  <c r="BF26" i="17"/>
  <c r="BF25" i="17"/>
  <c r="BF24" i="17"/>
  <c r="BF23" i="17"/>
  <c r="BF21" i="17"/>
  <c r="BF20" i="17"/>
  <c r="BF19" i="17"/>
  <c r="BF18" i="17"/>
  <c r="BF17" i="17"/>
  <c r="BF15" i="17"/>
  <c r="BF14" i="17"/>
  <c r="BF13" i="17"/>
  <c r="BF12" i="17"/>
  <c r="BF11" i="17"/>
  <c r="BF8" i="18"/>
  <c r="BF31" i="18"/>
  <c r="BF30" i="18"/>
  <c r="BF29" i="18"/>
  <c r="BF27" i="18"/>
  <c r="BF26" i="18"/>
  <c r="BF25" i="18"/>
  <c r="BF24" i="18"/>
  <c r="BF23" i="18"/>
  <c r="BF21" i="18"/>
  <c r="BF20" i="18"/>
  <c r="BF19" i="18"/>
  <c r="BF18" i="18"/>
  <c r="BF17" i="18"/>
  <c r="BF15" i="18"/>
  <c r="BF14" i="18"/>
  <c r="BF13" i="18"/>
  <c r="BF12" i="18"/>
  <c r="BF11" i="18"/>
  <c r="BG7" i="18"/>
  <c r="BG7" i="17"/>
  <c r="BG8" i="17" l="1"/>
  <c r="BG31" i="17"/>
  <c r="BG30" i="17"/>
  <c r="BG29" i="17"/>
  <c r="BG27" i="17"/>
  <c r="BG26" i="17"/>
  <c r="BG25" i="17"/>
  <c r="BG24" i="17"/>
  <c r="BG23" i="17"/>
  <c r="BG21" i="17"/>
  <c r="BG20" i="17"/>
  <c r="BG19" i="17"/>
  <c r="BG18" i="17"/>
  <c r="BG17" i="17"/>
  <c r="BG15" i="17"/>
  <c r="BG14" i="17"/>
  <c r="BG13" i="17"/>
  <c r="BG12" i="17"/>
  <c r="BG11" i="17"/>
  <c r="BG8" i="18"/>
  <c r="BG31" i="18"/>
  <c r="BG30" i="18"/>
  <c r="BG29" i="18"/>
  <c r="BG27" i="18"/>
  <c r="BG26" i="18"/>
  <c r="BG25" i="18"/>
  <c r="BG24" i="18"/>
  <c r="BG23" i="18"/>
  <c r="BG21" i="18"/>
  <c r="BG20" i="18"/>
  <c r="BG19" i="18"/>
  <c r="BG18" i="18"/>
  <c r="BG17" i="18"/>
  <c r="BG15" i="18"/>
  <c r="BG14" i="18"/>
  <c r="BG13" i="18"/>
  <c r="BG12" i="18"/>
  <c r="BG11" i="18"/>
  <c r="BH7" i="18"/>
  <c r="BH7" i="17"/>
  <c r="BH8" i="17" l="1"/>
  <c r="BH31" i="17"/>
  <c r="BH30" i="17"/>
  <c r="BH29" i="17"/>
  <c r="BH27" i="17"/>
  <c r="BH26" i="17"/>
  <c r="BH25" i="17"/>
  <c r="BH24" i="17"/>
  <c r="BH23" i="17"/>
  <c r="BH21" i="17"/>
  <c r="BH20" i="17"/>
  <c r="BH19" i="17"/>
  <c r="BH18" i="17"/>
  <c r="BH17" i="17"/>
  <c r="BH15" i="17"/>
  <c r="BH14" i="17"/>
  <c r="BH13" i="17"/>
  <c r="BH12" i="17"/>
  <c r="BH11" i="17"/>
  <c r="BH8" i="18"/>
  <c r="BH31" i="18"/>
  <c r="BH30" i="18"/>
  <c r="BH29" i="18"/>
  <c r="BH27" i="18"/>
  <c r="BH26" i="18"/>
  <c r="BH25" i="18"/>
  <c r="BH24" i="18"/>
  <c r="BH23" i="18"/>
  <c r="BH21" i="18"/>
  <c r="BH20" i="18"/>
  <c r="BH19" i="18"/>
  <c r="BH18" i="18"/>
  <c r="BH17" i="18"/>
  <c r="BH15" i="18"/>
  <c r="BH14" i="18"/>
  <c r="BH13" i="18"/>
  <c r="BH12" i="18"/>
  <c r="BH11" i="18"/>
  <c r="BI7" i="18"/>
  <c r="BI7" i="17"/>
  <c r="BI8" i="17" l="1"/>
  <c r="BI31" i="17"/>
  <c r="BI30" i="17"/>
  <c r="BI29" i="17"/>
  <c r="BI27" i="17"/>
  <c r="BI26" i="17"/>
  <c r="BI25" i="17"/>
  <c r="BI24" i="17"/>
  <c r="BI23" i="17"/>
  <c r="BI21" i="17"/>
  <c r="BI20" i="17"/>
  <c r="BI19" i="17"/>
  <c r="BI18" i="17"/>
  <c r="BI17" i="17"/>
  <c r="BI15" i="17"/>
  <c r="BI14" i="17"/>
  <c r="BI13" i="17"/>
  <c r="BI12" i="17"/>
  <c r="BI11" i="17"/>
  <c r="BI8" i="18"/>
  <c r="BI31" i="18"/>
  <c r="BI30" i="18"/>
  <c r="BI29" i="18"/>
  <c r="BI27" i="18"/>
  <c r="BI26" i="18"/>
  <c r="BI25" i="18"/>
  <c r="BI24" i="18"/>
  <c r="BI23" i="18"/>
  <c r="BI21" i="18"/>
  <c r="BI20" i="18"/>
  <c r="BI19" i="18"/>
  <c r="BI18" i="18"/>
  <c r="BI17" i="18"/>
  <c r="BI15" i="18"/>
  <c r="BI14" i="18"/>
  <c r="BI13" i="18"/>
  <c r="BI12" i="18"/>
  <c r="BI11" i="18"/>
  <c r="BJ7" i="18"/>
  <c r="BJ7" i="17"/>
  <c r="BJ8" i="17" l="1"/>
  <c r="BJ31" i="17"/>
  <c r="BJ30" i="17"/>
  <c r="BJ29" i="17"/>
  <c r="BJ27" i="17"/>
  <c r="BJ26" i="17"/>
  <c r="BJ25" i="17"/>
  <c r="BJ24" i="17"/>
  <c r="BJ23" i="17"/>
  <c r="BJ21" i="17"/>
  <c r="BJ20" i="17"/>
  <c r="BJ19" i="17"/>
  <c r="BJ18" i="17"/>
  <c r="BJ17" i="17"/>
  <c r="BJ15" i="17"/>
  <c r="BJ14" i="17"/>
  <c r="BJ13" i="17"/>
  <c r="BJ12" i="17"/>
  <c r="BJ11" i="17"/>
  <c r="BJ8" i="18"/>
  <c r="BJ31" i="18"/>
  <c r="BJ30" i="18"/>
  <c r="BJ29" i="18"/>
  <c r="BJ27" i="18"/>
  <c r="BJ26" i="18"/>
  <c r="BJ25" i="18"/>
  <c r="BJ24" i="18"/>
  <c r="BJ23" i="18"/>
  <c r="BJ21" i="18"/>
  <c r="BJ20" i="18"/>
  <c r="BJ19" i="18"/>
  <c r="BJ18" i="18"/>
  <c r="BJ17" i="18"/>
  <c r="BJ15" i="18"/>
  <c r="BJ14" i="18"/>
  <c r="BJ13" i="18"/>
  <c r="BJ12" i="18"/>
  <c r="BJ11" i="18"/>
  <c r="BK7" i="18"/>
  <c r="BK7" i="17"/>
  <c r="BK8" i="17" l="1"/>
  <c r="BK31" i="17"/>
  <c r="BK30" i="17"/>
  <c r="BK29" i="17"/>
  <c r="BK27" i="17"/>
  <c r="BK26" i="17"/>
  <c r="BK25" i="17"/>
  <c r="BK24" i="17"/>
  <c r="BK23" i="17"/>
  <c r="BK21" i="17"/>
  <c r="BK20" i="17"/>
  <c r="BK19" i="17"/>
  <c r="BK18" i="17"/>
  <c r="BK17" i="17"/>
  <c r="BK15" i="17"/>
  <c r="BK14" i="17"/>
  <c r="BK13" i="17"/>
  <c r="BK12" i="17"/>
  <c r="BK11" i="17"/>
  <c r="BK8" i="18"/>
  <c r="BK31" i="18"/>
  <c r="BK30" i="18"/>
  <c r="BK29" i="18"/>
  <c r="BK27" i="18"/>
  <c r="BK26" i="18"/>
  <c r="BK25" i="18"/>
  <c r="BK24" i="18"/>
  <c r="BK23" i="18"/>
  <c r="BK21" i="18"/>
  <c r="BK20" i="18"/>
  <c r="BK19" i="18"/>
  <c r="BK18" i="18"/>
  <c r="BK17" i="18"/>
  <c r="BK15" i="18"/>
  <c r="BK14" i="18"/>
  <c r="BK13" i="18"/>
  <c r="BK12" i="18"/>
  <c r="BK11" i="18"/>
  <c r="E31" i="11" l="1"/>
  <c r="E30" i="11"/>
  <c r="E29" i="11"/>
  <c r="E27" i="11"/>
  <c r="E26" i="11"/>
  <c r="E25" i="11"/>
  <c r="E24" i="11"/>
  <c r="E23" i="11"/>
  <c r="E21" i="11"/>
  <c r="E20" i="11"/>
  <c r="E19" i="11"/>
  <c r="E18" i="11"/>
  <c r="E17" i="11"/>
  <c r="E15" i="11"/>
  <c r="E14" i="11"/>
  <c r="E13" i="11"/>
  <c r="D6" i="11" l="1"/>
  <c r="E12" i="11" l="1"/>
  <c r="E11" i="11"/>
  <c r="C5" i="11" l="1"/>
  <c r="H7" i="11" l="1"/>
  <c r="H31" i="11" l="1"/>
  <c r="H30" i="11"/>
  <c r="H29" i="11"/>
  <c r="H27" i="11"/>
  <c r="H26" i="11"/>
  <c r="H25" i="11"/>
  <c r="H24" i="11"/>
  <c r="H23" i="11"/>
  <c r="H21" i="11"/>
  <c r="H20" i="11"/>
  <c r="H19" i="11"/>
  <c r="H18" i="11"/>
  <c r="H17" i="11"/>
  <c r="H15" i="11"/>
  <c r="H14" i="11"/>
  <c r="H13" i="11"/>
  <c r="H12" i="11"/>
  <c r="H11" i="11"/>
  <c r="H6" i="11"/>
  <c r="H8" i="11"/>
  <c r="I7" i="11"/>
  <c r="I31" i="11" l="1"/>
  <c r="I30" i="11"/>
  <c r="I29" i="11"/>
  <c r="I27" i="11"/>
  <c r="I26" i="11"/>
  <c r="I25" i="11"/>
  <c r="I24" i="11"/>
  <c r="I23" i="11"/>
  <c r="I21" i="11"/>
  <c r="I20" i="11"/>
  <c r="I19" i="11"/>
  <c r="I18" i="11"/>
  <c r="I17" i="11"/>
  <c r="I15" i="11"/>
  <c r="I14" i="11"/>
  <c r="I13" i="11"/>
  <c r="I12" i="11"/>
  <c r="I11" i="11"/>
  <c r="I8" i="11"/>
  <c r="J7" i="11"/>
  <c r="J31" i="11" l="1"/>
  <c r="J30" i="11"/>
  <c r="J29" i="11"/>
  <c r="J27" i="11"/>
  <c r="J26" i="11"/>
  <c r="J25" i="11"/>
  <c r="J24" i="11"/>
  <c r="J23" i="11"/>
  <c r="J21" i="11"/>
  <c r="J20" i="11"/>
  <c r="J19" i="11"/>
  <c r="J18" i="11"/>
  <c r="J17" i="11"/>
  <c r="J15" i="11"/>
  <c r="J14" i="11"/>
  <c r="J13" i="11"/>
  <c r="J12" i="11"/>
  <c r="J11" i="11"/>
  <c r="J8" i="11"/>
  <c r="K7" i="11"/>
  <c r="K31" i="11" l="1"/>
  <c r="K30" i="11"/>
  <c r="K29" i="11"/>
  <c r="K27" i="11"/>
  <c r="K26" i="11"/>
  <c r="K25" i="11"/>
  <c r="K24" i="11"/>
  <c r="K23" i="11"/>
  <c r="K21" i="11"/>
  <c r="K20" i="11"/>
  <c r="K19" i="11"/>
  <c r="K18" i="11"/>
  <c r="K17" i="11"/>
  <c r="K15" i="11"/>
  <c r="K14" i="11"/>
  <c r="K13" i="11"/>
  <c r="K12" i="11"/>
  <c r="K11" i="11"/>
  <c r="K8" i="11"/>
  <c r="L7" i="11"/>
  <c r="L31" i="11" l="1"/>
  <c r="L30" i="11"/>
  <c r="L29" i="11"/>
  <c r="L27" i="11"/>
  <c r="L26" i="11"/>
  <c r="L25" i="11"/>
  <c r="L24" i="11"/>
  <c r="L23" i="11"/>
  <c r="L21" i="11"/>
  <c r="L20" i="11"/>
  <c r="L19" i="11"/>
  <c r="L18" i="11"/>
  <c r="L17" i="11"/>
  <c r="L15" i="11"/>
  <c r="L14" i="11"/>
  <c r="L13" i="11"/>
  <c r="L12" i="11"/>
  <c r="L11" i="11"/>
  <c r="L8" i="11"/>
  <c r="M7" i="11"/>
  <c r="M31" i="11" l="1"/>
  <c r="M30" i="11"/>
  <c r="M29" i="11"/>
  <c r="M27" i="11"/>
  <c r="M26" i="11"/>
  <c r="M25" i="11"/>
  <c r="M24" i="11"/>
  <c r="M23" i="11"/>
  <c r="M21" i="11"/>
  <c r="M20" i="11"/>
  <c r="M19" i="11"/>
  <c r="M18" i="11"/>
  <c r="M17" i="11"/>
  <c r="M15" i="11"/>
  <c r="M14" i="11"/>
  <c r="M13" i="11"/>
  <c r="M12" i="11"/>
  <c r="M11" i="11"/>
  <c r="M8" i="11"/>
  <c r="N7" i="11"/>
  <c r="N31" i="11" l="1"/>
  <c r="N30" i="11"/>
  <c r="N29" i="11"/>
  <c r="N27" i="11"/>
  <c r="N26" i="11"/>
  <c r="N25" i="11"/>
  <c r="N24" i="11"/>
  <c r="N23" i="11"/>
  <c r="N21" i="11"/>
  <c r="N20" i="11"/>
  <c r="N19" i="11"/>
  <c r="N18" i="11"/>
  <c r="N17" i="11"/>
  <c r="N15" i="11"/>
  <c r="N14" i="11"/>
  <c r="N13" i="11"/>
  <c r="N12" i="11"/>
  <c r="N11" i="11"/>
  <c r="N8" i="11"/>
  <c r="O7" i="11"/>
  <c r="O31" i="11" l="1"/>
  <c r="O30" i="11"/>
  <c r="O29" i="11"/>
  <c r="O27" i="11"/>
  <c r="O26" i="11"/>
  <c r="O25" i="11"/>
  <c r="O24" i="11"/>
  <c r="O23" i="11"/>
  <c r="O21" i="11"/>
  <c r="O20" i="11"/>
  <c r="O19" i="11"/>
  <c r="O18" i="11"/>
  <c r="O17" i="11"/>
  <c r="O15" i="11"/>
  <c r="O14" i="11"/>
  <c r="O13" i="11"/>
  <c r="O12" i="11"/>
  <c r="O11" i="11"/>
  <c r="O6" i="11"/>
  <c r="O8" i="11"/>
  <c r="P7" i="11"/>
  <c r="P31" i="11" l="1"/>
  <c r="P30" i="11"/>
  <c r="P29" i="11"/>
  <c r="P27" i="11"/>
  <c r="P26" i="11"/>
  <c r="P25" i="11"/>
  <c r="P24" i="11"/>
  <c r="P23" i="11"/>
  <c r="P21" i="11"/>
  <c r="P20" i="11"/>
  <c r="P19" i="11"/>
  <c r="P18" i="11"/>
  <c r="P17" i="11"/>
  <c r="P15" i="11"/>
  <c r="P14" i="11"/>
  <c r="P13" i="11"/>
  <c r="P12" i="11"/>
  <c r="P11" i="11"/>
  <c r="P8" i="11"/>
  <c r="Q7" i="11"/>
  <c r="Q31" i="11" l="1"/>
  <c r="Q30" i="11"/>
  <c r="Q29" i="11"/>
  <c r="Q27" i="11"/>
  <c r="Q26" i="11"/>
  <c r="Q25" i="11"/>
  <c r="Q24" i="11"/>
  <c r="Q23" i="11"/>
  <c r="Q21" i="11"/>
  <c r="Q20" i="11"/>
  <c r="Q19" i="11"/>
  <c r="Q18" i="11"/>
  <c r="Q17" i="11"/>
  <c r="Q15" i="11"/>
  <c r="Q14" i="11"/>
  <c r="Q13" i="11"/>
  <c r="Q12" i="11"/>
  <c r="Q11" i="11"/>
  <c r="Q8" i="11"/>
  <c r="R7" i="11"/>
  <c r="R31" i="11" l="1"/>
  <c r="R30" i="11"/>
  <c r="R29" i="11"/>
  <c r="R27" i="11"/>
  <c r="R26" i="11"/>
  <c r="R25" i="11"/>
  <c r="R24" i="11"/>
  <c r="R23" i="11"/>
  <c r="R21" i="11"/>
  <c r="R20" i="11"/>
  <c r="R19" i="11"/>
  <c r="R18" i="11"/>
  <c r="R17" i="11"/>
  <c r="R15" i="11"/>
  <c r="R14" i="11"/>
  <c r="R13" i="11"/>
  <c r="R12" i="11"/>
  <c r="R11" i="11"/>
  <c r="R8" i="11"/>
  <c r="S7" i="11"/>
  <c r="S31" i="11" l="1"/>
  <c r="S30" i="11"/>
  <c r="S29" i="11"/>
  <c r="S27" i="11"/>
  <c r="S26" i="11"/>
  <c r="S25" i="11"/>
  <c r="S24" i="11"/>
  <c r="S23" i="11"/>
  <c r="S21" i="11"/>
  <c r="S20" i="11"/>
  <c r="S19" i="11"/>
  <c r="S18" i="11"/>
  <c r="S17" i="11"/>
  <c r="S15" i="11"/>
  <c r="S14" i="11"/>
  <c r="S13" i="11"/>
  <c r="S12" i="11"/>
  <c r="S11" i="11"/>
  <c r="S8" i="11"/>
  <c r="T7" i="11"/>
  <c r="T31" i="11" l="1"/>
  <c r="T30" i="11"/>
  <c r="T29" i="11"/>
  <c r="T27" i="11"/>
  <c r="T26" i="11"/>
  <c r="T25" i="11"/>
  <c r="T24" i="11"/>
  <c r="T23" i="11"/>
  <c r="T21" i="11"/>
  <c r="T20" i="11"/>
  <c r="T19" i="11"/>
  <c r="T18" i="11"/>
  <c r="T17" i="11"/>
  <c r="T15" i="11"/>
  <c r="T14" i="11"/>
  <c r="T13" i="11"/>
  <c r="T12" i="11"/>
  <c r="T11" i="11"/>
  <c r="T8" i="11"/>
  <c r="U7" i="11"/>
  <c r="U31" i="11" l="1"/>
  <c r="U30" i="11"/>
  <c r="U29" i="11"/>
  <c r="U27" i="11"/>
  <c r="U26" i="11"/>
  <c r="U25" i="11"/>
  <c r="U24" i="11"/>
  <c r="U23" i="11"/>
  <c r="U21" i="11"/>
  <c r="U20" i="11"/>
  <c r="U19" i="11"/>
  <c r="U18" i="11"/>
  <c r="U17" i="11"/>
  <c r="U15" i="11"/>
  <c r="U14" i="11"/>
  <c r="U13" i="11"/>
  <c r="U12" i="11"/>
  <c r="U11" i="11"/>
  <c r="U8" i="11"/>
  <c r="V7" i="11"/>
  <c r="V31" i="11" l="1"/>
  <c r="V30" i="11"/>
  <c r="V29" i="11"/>
  <c r="V27" i="11"/>
  <c r="V26" i="11"/>
  <c r="V25" i="11"/>
  <c r="V24" i="11"/>
  <c r="V23" i="11"/>
  <c r="V21" i="11"/>
  <c r="V20" i="11"/>
  <c r="V19" i="11"/>
  <c r="V18" i="11"/>
  <c r="V17" i="11"/>
  <c r="V15" i="11"/>
  <c r="V14" i="11"/>
  <c r="V13" i="11"/>
  <c r="V12" i="11"/>
  <c r="V11" i="11"/>
  <c r="V6" i="11"/>
  <c r="V8" i="11"/>
  <c r="W7" i="11"/>
  <c r="W31" i="11" l="1"/>
  <c r="W30" i="11"/>
  <c r="W29" i="11"/>
  <c r="W27" i="11"/>
  <c r="W26" i="11"/>
  <c r="W25" i="11"/>
  <c r="W24" i="11"/>
  <c r="W23" i="11"/>
  <c r="W21" i="11"/>
  <c r="W20" i="11"/>
  <c r="W19" i="11"/>
  <c r="W18" i="11"/>
  <c r="W17" i="11"/>
  <c r="W15" i="11"/>
  <c r="W14" i="11"/>
  <c r="W13" i="11"/>
  <c r="W12" i="11"/>
  <c r="W11" i="11"/>
  <c r="W8" i="11"/>
  <c r="X7" i="11"/>
  <c r="X31" i="11" l="1"/>
  <c r="X30" i="11"/>
  <c r="X29" i="11"/>
  <c r="X27" i="11"/>
  <c r="X26" i="11"/>
  <c r="X25" i="11"/>
  <c r="X24" i="11"/>
  <c r="X23" i="11"/>
  <c r="X21" i="11"/>
  <c r="X20" i="11"/>
  <c r="X19" i="11"/>
  <c r="X18" i="11"/>
  <c r="X17" i="11"/>
  <c r="X15" i="11"/>
  <c r="X14" i="11"/>
  <c r="X13" i="11"/>
  <c r="X12" i="11"/>
  <c r="X11" i="11"/>
  <c r="X8" i="11"/>
  <c r="Y7" i="11"/>
  <c r="Y31" i="11" l="1"/>
  <c r="Y30" i="11"/>
  <c r="Y29" i="11"/>
  <c r="Y27" i="11"/>
  <c r="Y26" i="11"/>
  <c r="Y25" i="11"/>
  <c r="Y24" i="11"/>
  <c r="Y23" i="11"/>
  <c r="Y21" i="11"/>
  <c r="Y20" i="11"/>
  <c r="Y19" i="11"/>
  <c r="Y18" i="11"/>
  <c r="Y17" i="11"/>
  <c r="Y15" i="11"/>
  <c r="Y14" i="11"/>
  <c r="Y13" i="11"/>
  <c r="Y12" i="11"/>
  <c r="Y11" i="11"/>
  <c r="Y8" i="11"/>
  <c r="Z7" i="11"/>
  <c r="Z31" i="11" l="1"/>
  <c r="Z30" i="11"/>
  <c r="Z29" i="11"/>
  <c r="Z27" i="11"/>
  <c r="Z26" i="11"/>
  <c r="Z25" i="11"/>
  <c r="Z24" i="11"/>
  <c r="Z23" i="11"/>
  <c r="Z21" i="11"/>
  <c r="Z20" i="11"/>
  <c r="Z19" i="11"/>
  <c r="Z18" i="11"/>
  <c r="Z17" i="11"/>
  <c r="Z15" i="11"/>
  <c r="Z14" i="11"/>
  <c r="Z13" i="11"/>
  <c r="Z12" i="11"/>
  <c r="Z11" i="11"/>
  <c r="Z8" i="11"/>
  <c r="AA7" i="11"/>
  <c r="AA31" i="11" l="1"/>
  <c r="AA30" i="11"/>
  <c r="AA29" i="11"/>
  <c r="AA27" i="11"/>
  <c r="AA26" i="11"/>
  <c r="AA25" i="11"/>
  <c r="AA24" i="11"/>
  <c r="AA23" i="11"/>
  <c r="AA21" i="11"/>
  <c r="AA20" i="11"/>
  <c r="AA19" i="11"/>
  <c r="AA18" i="11"/>
  <c r="AA17" i="11"/>
  <c r="AA15" i="11"/>
  <c r="AA14" i="11"/>
  <c r="AA13" i="11"/>
  <c r="AA12" i="11"/>
  <c r="AA11" i="11"/>
  <c r="AA8" i="11"/>
  <c r="AB7" i="11"/>
  <c r="AB31" i="11" l="1"/>
  <c r="AB30" i="11"/>
  <c r="AB29" i="11"/>
  <c r="AB27" i="11"/>
  <c r="AB26" i="11"/>
  <c r="AB25" i="11"/>
  <c r="AB24" i="11"/>
  <c r="AB23" i="11"/>
  <c r="AB21" i="11"/>
  <c r="AB20" i="11"/>
  <c r="AB19" i="11"/>
  <c r="AB18" i="11"/>
  <c r="AB17" i="11"/>
  <c r="AB15" i="11"/>
  <c r="AB14" i="11"/>
  <c r="AB13" i="11"/>
  <c r="AB12" i="11"/>
  <c r="AB11" i="11"/>
  <c r="AB8" i="11"/>
  <c r="AC7" i="11"/>
  <c r="AC8" i="11" l="1"/>
  <c r="AC31" i="11"/>
  <c r="AC30" i="11"/>
  <c r="AC29" i="11"/>
  <c r="AC27" i="11"/>
  <c r="AC26" i="11"/>
  <c r="AC25" i="11"/>
  <c r="AC24" i="11"/>
  <c r="AC23" i="11"/>
  <c r="AC21" i="11"/>
  <c r="AC20" i="11"/>
  <c r="AC19" i="11"/>
  <c r="AC18" i="11"/>
  <c r="AC17" i="11"/>
  <c r="AC15" i="11"/>
  <c r="AC14" i="11"/>
  <c r="AC13" i="11"/>
  <c r="AC12" i="11"/>
  <c r="AC11" i="11"/>
  <c r="AC6" i="11"/>
  <c r="AD7" i="11"/>
  <c r="AD31" i="11" l="1"/>
  <c r="AD30" i="11"/>
  <c r="AD29" i="11"/>
  <c r="AD27" i="11"/>
  <c r="AD26" i="11"/>
  <c r="AD25" i="11"/>
  <c r="AD24" i="11"/>
  <c r="AD23" i="11"/>
  <c r="AD21" i="11"/>
  <c r="AD20" i="11"/>
  <c r="AD19" i="11"/>
  <c r="AD18" i="11"/>
  <c r="AD17" i="11"/>
  <c r="AD15" i="11"/>
  <c r="AD14" i="11"/>
  <c r="AD13" i="11"/>
  <c r="AD12" i="11"/>
  <c r="AD11" i="11"/>
  <c r="AD8" i="11"/>
  <c r="AE7" i="11"/>
  <c r="AE31" i="11" l="1"/>
  <c r="AE30" i="11"/>
  <c r="AE29" i="11"/>
  <c r="AE27" i="11"/>
  <c r="AE26" i="11"/>
  <c r="AE25" i="11"/>
  <c r="AE24" i="11"/>
  <c r="AE23" i="11"/>
  <c r="AE21" i="11"/>
  <c r="AE20" i="11"/>
  <c r="AE19" i="11"/>
  <c r="AE18" i="11"/>
  <c r="AE17" i="11"/>
  <c r="AE15" i="11"/>
  <c r="AE14" i="11"/>
  <c r="AE13" i="11"/>
  <c r="AE12" i="11"/>
  <c r="AE11" i="11"/>
  <c r="AE8" i="11"/>
  <c r="AF7" i="11"/>
  <c r="AF31" i="11" l="1"/>
  <c r="AF30" i="11"/>
  <c r="AF29" i="11"/>
  <c r="AF27" i="11"/>
  <c r="AF26" i="11"/>
  <c r="AF25" i="11"/>
  <c r="AF24" i="11"/>
  <c r="AF23" i="11"/>
  <c r="AF21" i="11"/>
  <c r="AF20" i="11"/>
  <c r="AF19" i="11"/>
  <c r="AF18" i="11"/>
  <c r="AF17" i="11"/>
  <c r="AF15" i="11"/>
  <c r="AF14" i="11"/>
  <c r="AF13" i="11"/>
  <c r="AF12" i="11"/>
  <c r="AF11" i="11"/>
  <c r="AF8" i="11"/>
  <c r="AG7" i="11"/>
  <c r="AG31" i="11" l="1"/>
  <c r="AG30" i="11"/>
  <c r="AG29" i="11"/>
  <c r="AG27" i="11"/>
  <c r="AG26" i="11"/>
  <c r="AG25" i="11"/>
  <c r="AG24" i="11"/>
  <c r="AG23" i="11"/>
  <c r="AG21" i="11"/>
  <c r="AG20" i="11"/>
  <c r="AG19" i="11"/>
  <c r="AG18" i="11"/>
  <c r="AG17" i="11"/>
  <c r="AG15" i="11"/>
  <c r="AG14" i="11"/>
  <c r="AG13" i="11"/>
  <c r="AG12" i="11"/>
  <c r="AG11" i="11"/>
  <c r="AG8" i="11"/>
  <c r="AH7" i="11"/>
  <c r="AH31" i="11" l="1"/>
  <c r="AH30" i="11"/>
  <c r="AH29" i="11"/>
  <c r="AH27" i="11"/>
  <c r="AH26" i="11"/>
  <c r="AH25" i="11"/>
  <c r="AH24" i="11"/>
  <c r="AH23" i="11"/>
  <c r="AH21" i="11"/>
  <c r="AH20" i="11"/>
  <c r="AH19" i="11"/>
  <c r="AH18" i="11"/>
  <c r="AH17" i="11"/>
  <c r="AH15" i="11"/>
  <c r="AH14" i="11"/>
  <c r="AH13" i="11"/>
  <c r="AH12" i="11"/>
  <c r="AH11" i="11"/>
  <c r="AH8" i="11"/>
  <c r="AI7" i="11"/>
  <c r="AI31" i="11" l="1"/>
  <c r="AI30" i="11"/>
  <c r="AI29" i="11"/>
  <c r="AI27" i="11"/>
  <c r="AI26" i="11"/>
  <c r="AI25" i="11"/>
  <c r="AI24" i="11"/>
  <c r="AI23" i="11"/>
  <c r="AI21" i="11"/>
  <c r="AI20" i="11"/>
  <c r="AI19" i="11"/>
  <c r="AI18" i="11"/>
  <c r="AI17" i="11"/>
  <c r="AI15" i="11"/>
  <c r="AI14" i="11"/>
  <c r="AI13" i="11"/>
  <c r="AI12" i="11"/>
  <c r="AI11" i="11"/>
  <c r="AI8" i="11"/>
  <c r="AJ7" i="11"/>
  <c r="AJ8" i="11" l="1"/>
  <c r="AJ31" i="11"/>
  <c r="AJ30" i="11"/>
  <c r="AJ29" i="11"/>
  <c r="AJ27" i="11"/>
  <c r="AJ26" i="11"/>
  <c r="AJ25" i="11"/>
  <c r="AJ24" i="11"/>
  <c r="AJ23" i="11"/>
  <c r="AJ21" i="11"/>
  <c r="AJ20" i="11"/>
  <c r="AJ19" i="11"/>
  <c r="AJ18" i="11"/>
  <c r="AJ17" i="11"/>
  <c r="AJ15" i="11"/>
  <c r="AJ14" i="11"/>
  <c r="AJ13" i="11"/>
  <c r="AJ12" i="11"/>
  <c r="AJ11" i="11"/>
  <c r="AJ6" i="11"/>
  <c r="AK7" i="11"/>
  <c r="AK31" i="11" l="1"/>
  <c r="AK30" i="11"/>
  <c r="AK29" i="11"/>
  <c r="AK27" i="11"/>
  <c r="AK26" i="11"/>
  <c r="AK25" i="11"/>
  <c r="AK24" i="11"/>
  <c r="AK23" i="11"/>
  <c r="AK21" i="11"/>
  <c r="AK20" i="11"/>
  <c r="AK19" i="11"/>
  <c r="AK18" i="11"/>
  <c r="AK17" i="11"/>
  <c r="AK15" i="11"/>
  <c r="AK14" i="11"/>
  <c r="AK13" i="11"/>
  <c r="AK12" i="11"/>
  <c r="AK11" i="11"/>
  <c r="AK8" i="11"/>
  <c r="AL7" i="11"/>
  <c r="AL31" i="11" l="1"/>
  <c r="AL30" i="11"/>
  <c r="AL29" i="11"/>
  <c r="AL27" i="11"/>
  <c r="AL26" i="11"/>
  <c r="AL25" i="11"/>
  <c r="AL24" i="11"/>
  <c r="AL23" i="11"/>
  <c r="AL21" i="11"/>
  <c r="AL20" i="11"/>
  <c r="AL19" i="11"/>
  <c r="AL18" i="11"/>
  <c r="AL17" i="11"/>
  <c r="AL15" i="11"/>
  <c r="AL14" i="11"/>
  <c r="AL13" i="11"/>
  <c r="AL12" i="11"/>
  <c r="AL11" i="11"/>
  <c r="AL8" i="11"/>
  <c r="AM7" i="11"/>
  <c r="AM31" i="11" l="1"/>
  <c r="AM30" i="11"/>
  <c r="AM29" i="11"/>
  <c r="AM27" i="11"/>
  <c r="AM26" i="11"/>
  <c r="AM25" i="11"/>
  <c r="AM24" i="11"/>
  <c r="AM23" i="11"/>
  <c r="AM21" i="11"/>
  <c r="AM20" i="11"/>
  <c r="AM19" i="11"/>
  <c r="AM18" i="11"/>
  <c r="AM17" i="11"/>
  <c r="AM15" i="11"/>
  <c r="AM14" i="11"/>
  <c r="AM13" i="11"/>
  <c r="AM12" i="11"/>
  <c r="AM11" i="11"/>
  <c r="AM8" i="11"/>
  <c r="AN7" i="11"/>
  <c r="AN31" i="11" l="1"/>
  <c r="AN30" i="11"/>
  <c r="AN29" i="11"/>
  <c r="AN27" i="11"/>
  <c r="AN26" i="11"/>
  <c r="AN25" i="11"/>
  <c r="AN24" i="11"/>
  <c r="AN23" i="11"/>
  <c r="AN21" i="11"/>
  <c r="AN20" i="11"/>
  <c r="AN19" i="11"/>
  <c r="AN18" i="11"/>
  <c r="AN17" i="11"/>
  <c r="AN15" i="11"/>
  <c r="AN14" i="11"/>
  <c r="AN13" i="11"/>
  <c r="AN12" i="11"/>
  <c r="AN11" i="11"/>
  <c r="AN8" i="11"/>
  <c r="AO7" i="11"/>
  <c r="AP7" i="11"/>
  <c r="AP8" i="11" l="1"/>
  <c r="AP31" i="11"/>
  <c r="AP30" i="11"/>
  <c r="AP29" i="11"/>
  <c r="AP27" i="11"/>
  <c r="AP26" i="11"/>
  <c r="AP25" i="11"/>
  <c r="AP24" i="11"/>
  <c r="AP23" i="11"/>
  <c r="AP21" i="11"/>
  <c r="AP20" i="11"/>
  <c r="AP19" i="11"/>
  <c r="AP18" i="11"/>
  <c r="AP17" i="11"/>
  <c r="AP15" i="11"/>
  <c r="AP14" i="11"/>
  <c r="AP13" i="11"/>
  <c r="AP12" i="11"/>
  <c r="AP11" i="11"/>
  <c r="AO8" i="11"/>
  <c r="AO31" i="11"/>
  <c r="AO30" i="11"/>
  <c r="AO29" i="11"/>
  <c r="AO27" i="11"/>
  <c r="AO26" i="11"/>
  <c r="AO25" i="11"/>
  <c r="AO24" i="11"/>
  <c r="AO23" i="11"/>
  <c r="AO21" i="11"/>
  <c r="AO20" i="11"/>
  <c r="AO19" i="11"/>
  <c r="AO18" i="11"/>
  <c r="AO17" i="11"/>
  <c r="AO15" i="11"/>
  <c r="AO14" i="11"/>
  <c r="AO13" i="11"/>
  <c r="AO12" i="11"/>
  <c r="AO11" i="11"/>
  <c r="AQ7" i="11"/>
  <c r="AQ31" i="11" l="1"/>
  <c r="AQ30" i="11"/>
  <c r="AQ29" i="11"/>
  <c r="AQ27" i="11"/>
  <c r="AQ26" i="11"/>
  <c r="AQ25" i="11"/>
  <c r="AQ24" i="11"/>
  <c r="AQ23" i="11"/>
  <c r="AQ21" i="11"/>
  <c r="AQ20" i="11"/>
  <c r="AQ19" i="11"/>
  <c r="AQ18" i="11"/>
  <c r="AQ17" i="11"/>
  <c r="AQ15" i="11"/>
  <c r="AQ14" i="11"/>
  <c r="AQ13" i="11"/>
  <c r="AQ12" i="11"/>
  <c r="AQ11" i="11"/>
  <c r="AQ6" i="11"/>
  <c r="AQ8" i="11"/>
  <c r="AR7" i="11"/>
  <c r="AR8" i="11" l="1"/>
  <c r="AR31" i="11"/>
  <c r="AR30" i="11"/>
  <c r="AR29" i="11"/>
  <c r="AR27" i="11"/>
  <c r="AR26" i="11"/>
  <c r="AR25" i="11"/>
  <c r="AR24" i="11"/>
  <c r="AR23" i="11"/>
  <c r="AR21" i="11"/>
  <c r="AR20" i="11"/>
  <c r="AR19" i="11"/>
  <c r="AR18" i="11"/>
  <c r="AR17" i="11"/>
  <c r="AR15" i="11"/>
  <c r="AR14" i="11"/>
  <c r="AR13" i="11"/>
  <c r="AR12" i="11"/>
  <c r="AR11" i="11"/>
  <c r="AS7" i="11"/>
  <c r="AS8" i="11" l="1"/>
  <c r="AS31" i="11"/>
  <c r="AS30" i="11"/>
  <c r="AS29" i="11"/>
  <c r="AS27" i="11"/>
  <c r="AS26" i="11"/>
  <c r="AS25" i="11"/>
  <c r="AS24" i="11"/>
  <c r="AS23" i="11"/>
  <c r="AS21" i="11"/>
  <c r="AS20" i="11"/>
  <c r="AS19" i="11"/>
  <c r="AS18" i="11"/>
  <c r="AS17" i="11"/>
  <c r="AS15" i="11"/>
  <c r="AS14" i="11"/>
  <c r="AS13" i="11"/>
  <c r="AS12" i="11"/>
  <c r="AS11" i="11"/>
  <c r="AT7" i="11"/>
  <c r="AT8" i="11" l="1"/>
  <c r="AT31" i="11"/>
  <c r="AT30" i="11"/>
  <c r="AT29" i="11"/>
  <c r="AT27" i="11"/>
  <c r="AT26" i="11"/>
  <c r="AT25" i="11"/>
  <c r="AT24" i="11"/>
  <c r="AT23" i="11"/>
  <c r="AT21" i="11"/>
  <c r="AT20" i="11"/>
  <c r="AT19" i="11"/>
  <c r="AT18" i="11"/>
  <c r="AT17" i="11"/>
  <c r="AT15" i="11"/>
  <c r="AT14" i="11"/>
  <c r="AT13" i="11"/>
  <c r="AT12" i="11"/>
  <c r="AT11" i="11"/>
  <c r="AU7" i="11"/>
  <c r="AU8" i="11" l="1"/>
  <c r="AU31" i="11"/>
  <c r="AU30" i="11"/>
  <c r="AU29" i="11"/>
  <c r="AU27" i="11"/>
  <c r="AU26" i="11"/>
  <c r="AU25" i="11"/>
  <c r="AU24" i="11"/>
  <c r="AU23" i="11"/>
  <c r="AU21" i="11"/>
  <c r="AU20" i="11"/>
  <c r="AU19" i="11"/>
  <c r="AU18" i="11"/>
  <c r="AU17" i="11"/>
  <c r="AU15" i="11"/>
  <c r="AU14" i="11"/>
  <c r="AU13" i="11"/>
  <c r="AU12" i="11"/>
  <c r="AU11" i="11"/>
  <c r="AV7" i="11"/>
  <c r="AV8" i="11" l="1"/>
  <c r="AV31" i="11"/>
  <c r="AV30" i="11"/>
  <c r="AV29" i="11"/>
  <c r="AV27" i="11"/>
  <c r="AV26" i="11"/>
  <c r="AV25" i="11"/>
  <c r="AV24" i="11"/>
  <c r="AV23" i="11"/>
  <c r="AV21" i="11"/>
  <c r="AV20" i="11"/>
  <c r="AV19" i="11"/>
  <c r="AV18" i="11"/>
  <c r="AV17" i="11"/>
  <c r="AV15" i="11"/>
  <c r="AV14" i="11"/>
  <c r="AV13" i="11"/>
  <c r="AV12" i="11"/>
  <c r="AV11" i="11"/>
  <c r="AW7" i="11"/>
  <c r="AW8" i="11" l="1"/>
  <c r="AW31" i="11"/>
  <c r="AW30" i="11"/>
  <c r="AW29" i="11"/>
  <c r="AW27" i="11"/>
  <c r="AW26" i="11"/>
  <c r="AW25" i="11"/>
  <c r="AW24" i="11"/>
  <c r="AW23" i="11"/>
  <c r="AW21" i="11"/>
  <c r="AW20" i="11"/>
  <c r="AW19" i="11"/>
  <c r="AW18" i="11"/>
  <c r="AW17" i="11"/>
  <c r="AW15" i="11"/>
  <c r="AW14" i="11"/>
  <c r="AW13" i="11"/>
  <c r="AW12" i="11"/>
  <c r="AW11" i="11"/>
  <c r="AX7" i="11"/>
  <c r="AX31" i="11" l="1"/>
  <c r="AX30" i="11"/>
  <c r="AX29" i="11"/>
  <c r="AX27" i="11"/>
  <c r="AX26" i="11"/>
  <c r="AX25" i="11"/>
  <c r="AX24" i="11"/>
  <c r="AX23" i="11"/>
  <c r="AX21" i="11"/>
  <c r="AX20" i="11"/>
  <c r="AX19" i="11"/>
  <c r="AX18" i="11"/>
  <c r="AX17" i="11"/>
  <c r="AX15" i="11"/>
  <c r="AX14" i="11"/>
  <c r="AX13" i="11"/>
  <c r="AX12" i="11"/>
  <c r="AX11" i="11"/>
  <c r="AX6" i="11"/>
  <c r="AX8" i="11"/>
  <c r="AY7" i="11"/>
  <c r="AY8" i="11" l="1"/>
  <c r="AY31" i="11"/>
  <c r="AY30" i="11"/>
  <c r="AY29" i="11"/>
  <c r="AY27" i="11"/>
  <c r="AY26" i="11"/>
  <c r="AY25" i="11"/>
  <c r="AY24" i="11"/>
  <c r="AY23" i="11"/>
  <c r="AY21" i="11"/>
  <c r="AY20" i="11"/>
  <c r="AY19" i="11"/>
  <c r="AY18" i="11"/>
  <c r="AY17" i="11"/>
  <c r="AY15" i="11"/>
  <c r="AY14" i="11"/>
  <c r="AY13" i="11"/>
  <c r="AY12" i="11"/>
  <c r="AY11" i="11"/>
  <c r="AZ7" i="11"/>
  <c r="AZ8" i="11" l="1"/>
  <c r="AZ31" i="11"/>
  <c r="AZ30" i="11"/>
  <c r="AZ29" i="11"/>
  <c r="AZ27" i="11"/>
  <c r="AZ26" i="11"/>
  <c r="AZ25" i="11"/>
  <c r="AZ24" i="11"/>
  <c r="AZ23" i="11"/>
  <c r="AZ21" i="11"/>
  <c r="AZ20" i="11"/>
  <c r="AZ19" i="11"/>
  <c r="AZ18" i="11"/>
  <c r="AZ17" i="11"/>
  <c r="AZ15" i="11"/>
  <c r="AZ14" i="11"/>
  <c r="AZ13" i="11"/>
  <c r="AZ12" i="11"/>
  <c r="AZ11" i="11"/>
  <c r="BA7" i="11"/>
  <c r="BA8" i="11" l="1"/>
  <c r="BA31" i="11"/>
  <c r="BA30" i="11"/>
  <c r="BA29" i="11"/>
  <c r="BA27" i="11"/>
  <c r="BA26" i="11"/>
  <c r="BA25" i="11"/>
  <c r="BA24" i="11"/>
  <c r="BA23" i="11"/>
  <c r="BA21" i="11"/>
  <c r="BA20" i="11"/>
  <c r="BA19" i="11"/>
  <c r="BA18" i="11"/>
  <c r="BA17" i="11"/>
  <c r="BA15" i="11"/>
  <c r="BA14" i="11"/>
  <c r="BA13" i="11"/>
  <c r="BA12" i="11"/>
  <c r="BA11" i="11"/>
  <c r="BB7" i="11"/>
  <c r="BB8" i="11" l="1"/>
  <c r="BB31" i="11"/>
  <c r="BB30" i="11"/>
  <c r="BB29" i="11"/>
  <c r="BB27" i="11"/>
  <c r="BB26" i="11"/>
  <c r="BB25" i="11"/>
  <c r="BB24" i="11"/>
  <c r="BB23" i="11"/>
  <c r="BB21" i="11"/>
  <c r="BB20" i="11"/>
  <c r="BB19" i="11"/>
  <c r="BB18" i="11"/>
  <c r="BB17" i="11"/>
  <c r="BB15" i="11"/>
  <c r="BB14" i="11"/>
  <c r="BB13" i="11"/>
  <c r="BB12" i="11"/>
  <c r="BB11" i="11"/>
  <c r="BC7" i="11"/>
  <c r="BC8" i="11" l="1"/>
  <c r="BC31" i="11"/>
  <c r="BC30" i="11"/>
  <c r="BC29" i="11"/>
  <c r="BC27" i="11"/>
  <c r="BC26" i="11"/>
  <c r="BC25" i="11"/>
  <c r="BC24" i="11"/>
  <c r="BC23" i="11"/>
  <c r="BC21" i="11"/>
  <c r="BC20" i="11"/>
  <c r="BC19" i="11"/>
  <c r="BC18" i="11"/>
  <c r="BC17" i="11"/>
  <c r="BC15" i="11"/>
  <c r="BC14" i="11"/>
  <c r="BC13" i="11"/>
  <c r="BC12" i="11"/>
  <c r="BC11" i="11"/>
  <c r="BD7" i="11"/>
  <c r="BD8" i="11" l="1"/>
  <c r="BD31" i="11"/>
  <c r="BD30" i="11"/>
  <c r="BD29" i="11"/>
  <c r="BD27" i="11"/>
  <c r="BD26" i="11"/>
  <c r="BD25" i="11"/>
  <c r="BD24" i="11"/>
  <c r="BD23" i="11"/>
  <c r="BD21" i="11"/>
  <c r="BD20" i="11"/>
  <c r="BD19" i="11"/>
  <c r="BD18" i="11"/>
  <c r="BD17" i="11"/>
  <c r="BD15" i="11"/>
  <c r="BD14" i="11"/>
  <c r="BD13" i="11"/>
  <c r="BD12" i="11"/>
  <c r="BD11" i="11"/>
  <c r="BE7" i="11"/>
  <c r="BE31" i="11" l="1"/>
  <c r="BE30" i="11"/>
  <c r="BE29" i="11"/>
  <c r="BE27" i="11"/>
  <c r="BE26" i="11"/>
  <c r="BE25" i="11"/>
  <c r="BE24" i="11"/>
  <c r="BE23" i="11"/>
  <c r="BE21" i="11"/>
  <c r="BE20" i="11"/>
  <c r="BE19" i="11"/>
  <c r="BE18" i="11"/>
  <c r="BE17" i="11"/>
  <c r="BE15" i="11"/>
  <c r="BE14" i="11"/>
  <c r="BE13" i="11"/>
  <c r="BE12" i="11"/>
  <c r="BE11" i="11"/>
  <c r="BE6" i="11"/>
  <c r="BE8" i="11"/>
  <c r="BF7" i="11"/>
  <c r="BF8" i="11" l="1"/>
  <c r="BF31" i="11"/>
  <c r="BF30" i="11"/>
  <c r="BF29" i="11"/>
  <c r="BF27" i="11"/>
  <c r="BF26" i="11"/>
  <c r="BF25" i="11"/>
  <c r="BF24" i="11"/>
  <c r="BF23" i="11"/>
  <c r="BF21" i="11"/>
  <c r="BF20" i="11"/>
  <c r="BF19" i="11"/>
  <c r="BF18" i="11"/>
  <c r="BF17" i="11"/>
  <c r="BF15" i="11"/>
  <c r="BF14" i="11"/>
  <c r="BF13" i="11"/>
  <c r="BF12" i="11"/>
  <c r="BF11" i="11"/>
  <c r="BG7" i="11"/>
  <c r="BG8" i="11" l="1"/>
  <c r="BG31" i="11"/>
  <c r="BG30" i="11"/>
  <c r="BG29" i="11"/>
  <c r="BG27" i="11"/>
  <c r="BG26" i="11"/>
  <c r="BG25" i="11"/>
  <c r="BG24" i="11"/>
  <c r="BG23" i="11"/>
  <c r="BG21" i="11"/>
  <c r="BG20" i="11"/>
  <c r="BG19" i="11"/>
  <c r="BG18" i="11"/>
  <c r="BG17" i="11"/>
  <c r="BG15" i="11"/>
  <c r="BG14" i="11"/>
  <c r="BG13" i="11"/>
  <c r="BG12" i="11"/>
  <c r="BG11" i="11"/>
  <c r="BH7" i="11"/>
  <c r="BH8" i="11" l="1"/>
  <c r="BH31" i="11"/>
  <c r="BH30" i="11"/>
  <c r="BH29" i="11"/>
  <c r="BH27" i="11"/>
  <c r="BH26" i="11"/>
  <c r="BH25" i="11"/>
  <c r="BH24" i="11"/>
  <c r="BH23" i="11"/>
  <c r="BH21" i="11"/>
  <c r="BH20" i="11"/>
  <c r="BH19" i="11"/>
  <c r="BH18" i="11"/>
  <c r="BH17" i="11"/>
  <c r="BH15" i="11"/>
  <c r="BH14" i="11"/>
  <c r="BH13" i="11"/>
  <c r="BH12" i="11"/>
  <c r="BH11" i="11"/>
  <c r="BI7" i="11"/>
  <c r="BI8" i="11" l="1"/>
  <c r="BI31" i="11"/>
  <c r="BI30" i="11"/>
  <c r="BI29" i="11"/>
  <c r="BI27" i="11"/>
  <c r="BI26" i="11"/>
  <c r="BI25" i="11"/>
  <c r="BI24" i="11"/>
  <c r="BI23" i="11"/>
  <c r="BI21" i="11"/>
  <c r="BI20" i="11"/>
  <c r="BI19" i="11"/>
  <c r="BI18" i="11"/>
  <c r="BI17" i="11"/>
  <c r="BI15" i="11"/>
  <c r="BI14" i="11"/>
  <c r="BI13" i="11"/>
  <c r="BI12" i="11"/>
  <c r="BI11" i="11"/>
  <c r="BJ7" i="11"/>
  <c r="BJ8" i="11" l="1"/>
  <c r="BJ31" i="11"/>
  <c r="BJ30" i="11"/>
  <c r="BJ29" i="11"/>
  <c r="BJ27" i="11"/>
  <c r="BJ26" i="11"/>
  <c r="BJ25" i="11"/>
  <c r="BJ24" i="11"/>
  <c r="BJ23" i="11"/>
  <c r="BJ21" i="11"/>
  <c r="BJ20" i="11"/>
  <c r="BJ19" i="11"/>
  <c r="BJ18" i="11"/>
  <c r="BJ17" i="11"/>
  <c r="BJ15" i="11"/>
  <c r="BJ14" i="11"/>
  <c r="BJ13" i="11"/>
  <c r="BJ12" i="11"/>
  <c r="BJ11" i="11"/>
  <c r="BK7" i="11"/>
  <c r="BK8" i="11" l="1"/>
  <c r="BK31" i="11"/>
  <c r="BK30" i="11"/>
  <c r="BK29" i="11"/>
  <c r="BK27" i="11"/>
  <c r="BK26" i="11"/>
  <c r="BK25" i="11"/>
  <c r="BK24" i="11"/>
  <c r="BK23" i="11"/>
  <c r="BK21" i="11"/>
  <c r="BK20" i="11"/>
  <c r="BK19" i="11"/>
  <c r="BK18" i="11"/>
  <c r="BK17" i="11"/>
  <c r="BK15" i="11"/>
  <c r="BK14" i="11"/>
  <c r="BK13" i="11"/>
  <c r="BK12" i="11"/>
  <c r="BK11" i="11"/>
</calcChain>
</file>

<file path=xl/sharedStrings.xml><?xml version="1.0" encoding="utf-8"?>
<sst xmlns="http://schemas.openxmlformats.org/spreadsheetml/2006/main" count="111" uniqueCount="24">
  <si>
    <t>이 GANTT 차트에 대한 정보</t>
  </si>
  <si>
    <t xml:space="preserve">이 Gantt 차트 서식 파일을 사용하여 프로젝트를 시각화하고 추적하세요. 시작하려면 중요 시점 설명 섹션에서 실행 중인 작업을 입력한 다음 각 작업에 대한 세부 정보를 입력합니다. 데이터가 자동으로 업데이트되며 새 작업을 쉽게 삽입하거나 스크롤 막대를 사용하여 시간 표시줄을 스크롤할 수 있습니다. </t>
  </si>
  <si>
    <t xml:space="preserve">• 진행률을 사용하여 백분율 숫자를 추가해서 완료한 프로젝트의 수를 추가합니다. 
• 시작 날짜에 프로젝트를 시작한 날짜를 추가합니다. 
• 일수 필드에 프로젝트를 완료하는 데 필요한 일수를 입력하여 계산을 완료합니다. </t>
  </si>
  <si>
    <t>프로젝트 제목</t>
  </si>
  <si>
    <t>회사 이름</t>
  </si>
  <si>
    <t>프로젝트 리더</t>
  </si>
  <si>
    <t>프로젝트 시작 날짜:</t>
  </si>
  <si>
    <t>중요 시점 표식:</t>
  </si>
  <si>
    <t>중요 시점 설명</t>
  </si>
  <si>
    <t>제목 1</t>
  </si>
  <si>
    <t>작업 1</t>
  </si>
  <si>
    <t>작업 2</t>
  </si>
  <si>
    <t>작업 3</t>
  </si>
  <si>
    <t>작업 4</t>
  </si>
  <si>
    <t>작업 5</t>
  </si>
  <si>
    <t>제목 2</t>
  </si>
  <si>
    <t>제목 3</t>
  </si>
  <si>
    <t>제목 4</t>
  </si>
  <si>
    <t>데이터를 추가하려면 이 행 위에 새 행을 삽입</t>
  </si>
  <si>
    <t>담당자</t>
  </si>
  <si>
    <t>진행 상황</t>
  </si>
  <si>
    <t>시작</t>
  </si>
  <si>
    <t>요일</t>
  </si>
  <si>
    <t>스크롤 증분: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</si>
</sst>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76" formatCode="_(* #,##0.00_);_(* \(#,##0.00\);_(* &quot;-&quot;??_);_(@_)"/>
    <numFmt numFmtId="177" formatCode="d"/>
    <numFmt numFmtId="178" formatCode="#,##0_);\(#,##0\)"/>
  </numFmts>
  <fonts count="39">
    <font>
      <sz val="11"/>
      <color theme="8" tint="-0.499984740745262"/>
      <name val="맑은 고딕"/>
      <family val="2"/>
      <scheme val="minor"/>
    </font>
    <font>
      <u/>
      <sz val="11"/>
      <color indexed="12"/>
      <name val="Arial"/>
      <family val="2"/>
    </font>
    <font>
      <sz val="11"/>
      <name val="맑은 고딕"/>
      <family val="2"/>
      <scheme val="minor"/>
    </font>
    <font>
      <sz val="11"/>
      <color theme="1"/>
      <name val="맑은 고딕"/>
      <family val="2"/>
      <scheme val="minor"/>
    </font>
    <font>
      <b/>
      <sz val="11"/>
      <color theme="1" tint="0.499984740745262"/>
      <name val="맑은 고딕"/>
      <family val="2"/>
      <scheme val="minor"/>
    </font>
    <font>
      <sz val="11"/>
      <color theme="0"/>
      <name val="맑은 고딕"/>
      <family val="2"/>
      <scheme val="minor"/>
    </font>
    <font>
      <b/>
      <sz val="10"/>
      <color theme="0"/>
      <name val="맑은 고딕"/>
      <family val="2"/>
      <scheme val="minor"/>
    </font>
    <font>
      <sz val="10"/>
      <color theme="0"/>
      <name val="맑은 고딕"/>
      <family val="2"/>
      <scheme val="minor"/>
    </font>
    <font>
      <b/>
      <sz val="22"/>
      <color theme="8" tint="-0.499984740745262"/>
      <name val="맑은 고딕"/>
      <family val="2"/>
      <scheme val="major"/>
    </font>
    <font>
      <sz val="14"/>
      <color theme="8" tint="-0.499984740745262"/>
      <name val="맑은 고딕"/>
      <family val="2"/>
      <scheme val="minor"/>
    </font>
    <font>
      <sz val="11"/>
      <color theme="8" tint="-0.499984740745262"/>
      <name val="맑은 고딕"/>
      <family val="2"/>
      <scheme val="minor"/>
    </font>
    <font>
      <i/>
      <sz val="11"/>
      <color rgb="FF7F7F7F"/>
      <name val="맑은 고딕"/>
      <family val="2"/>
      <scheme val="minor"/>
    </font>
    <font>
      <sz val="16"/>
      <color theme="8" tint="-0.499984740745262"/>
      <name val="맑은 고딕"/>
      <family val="2"/>
      <scheme val="minor"/>
    </font>
    <font>
      <sz val="14"/>
      <name val="맑은 고딕"/>
      <family val="2"/>
      <scheme val="minor"/>
    </font>
    <font>
      <b/>
      <sz val="14"/>
      <color theme="8" tint="-0.499984740745262"/>
      <name val="맑은 고딕"/>
      <family val="2"/>
      <scheme val="minor"/>
    </font>
    <font>
      <b/>
      <sz val="11"/>
      <color theme="5"/>
      <name val="맑은 고딕"/>
      <family val="2"/>
      <scheme val="minor"/>
    </font>
    <font>
      <b/>
      <sz val="11"/>
      <color theme="3"/>
      <name val="맑은 고딕"/>
      <family val="2"/>
      <scheme val="minor"/>
    </font>
    <font>
      <b/>
      <sz val="20"/>
      <name val="맑은 고딕"/>
      <family val="2"/>
      <scheme val="major"/>
    </font>
    <font>
      <b/>
      <sz val="22"/>
      <color theme="3"/>
      <name val="맑은 고딕"/>
      <family val="2"/>
      <scheme val="major"/>
    </font>
    <font>
      <b/>
      <sz val="22"/>
      <color theme="5"/>
      <name val="맑은 고딕"/>
      <family val="2"/>
      <scheme val="major"/>
    </font>
    <font>
      <b/>
      <sz val="16"/>
      <name val="맑은 고딕"/>
      <family val="2"/>
      <scheme val="major"/>
    </font>
    <font>
      <b/>
      <sz val="16"/>
      <color theme="8" tint="-0.499984740745262"/>
      <name val="맑은 고딕"/>
      <family val="2"/>
      <scheme val="minor"/>
    </font>
    <font>
      <sz val="11"/>
      <color theme="5"/>
      <name val="맑은 고딕"/>
      <family val="2"/>
      <scheme val="minor"/>
    </font>
    <font>
      <b/>
      <sz val="11"/>
      <name val="맑은 고딕"/>
      <family val="2"/>
      <scheme val="minor"/>
    </font>
    <font>
      <b/>
      <sz val="11"/>
      <color theme="6" tint="-0.249977111117893"/>
      <name val="맑은 고딕"/>
      <family val="2"/>
      <scheme val="minor"/>
    </font>
    <font>
      <sz val="8"/>
      <name val="맑은 고딕"/>
      <family val="3"/>
      <charset val="129"/>
      <scheme val="minor"/>
    </font>
    <font>
      <sz val="14"/>
      <name val="맑은 고딕"/>
      <family val="3"/>
      <charset val="129"/>
      <scheme val="major"/>
    </font>
    <font>
      <sz val="20"/>
      <name val="맑은 고딕"/>
      <family val="3"/>
      <charset val="129"/>
      <scheme val="major"/>
    </font>
    <font>
      <sz val="11"/>
      <name val="맑은 고딕"/>
      <family val="3"/>
      <charset val="129"/>
      <scheme val="major"/>
    </font>
    <font>
      <sz val="10"/>
      <name val="맑은 고딕"/>
      <family val="3"/>
      <charset val="129"/>
      <scheme val="major"/>
    </font>
    <font>
      <b/>
      <sz val="22"/>
      <color theme="6" tint="-0.249977111117893"/>
      <name val="맑은 고딕"/>
      <family val="3"/>
      <charset val="129"/>
      <scheme val="major"/>
    </font>
    <font>
      <sz val="10"/>
      <color theme="1" tint="0.499984740745262"/>
      <name val="맑은 고딕"/>
      <family val="3"/>
      <charset val="129"/>
      <scheme val="major"/>
    </font>
    <font>
      <sz val="11"/>
      <color theme="8" tint="-0.499984740745262"/>
      <name val="맑은 고딕"/>
      <family val="3"/>
      <charset val="129"/>
      <scheme val="major"/>
    </font>
    <font>
      <sz val="11"/>
      <color theme="8" tint="-0.499984740745262"/>
      <name val="맑은 고딕"/>
      <family val="3"/>
      <charset val="129"/>
      <scheme val="minor"/>
    </font>
    <font>
      <sz val="22"/>
      <name val="맑은 고딕"/>
      <family val="3"/>
      <charset val="129"/>
    </font>
    <font>
      <sz val="20"/>
      <color theme="8" tint="0.59999389629810485"/>
      <name val="맑은 고딕"/>
      <family val="3"/>
      <charset val="129"/>
      <scheme val="major"/>
    </font>
    <font>
      <b/>
      <sz val="24"/>
      <color theme="0"/>
      <name val="맑은 고딕"/>
      <family val="3"/>
      <charset val="129"/>
      <scheme val="major"/>
    </font>
    <font>
      <b/>
      <sz val="22"/>
      <name val="맑은 고딕"/>
      <family val="3"/>
      <charset val="129"/>
      <scheme val="major"/>
    </font>
    <font>
      <sz val="10"/>
      <name val="맑은 고딕"/>
      <family val="3"/>
      <charset val="129"/>
      <scheme val="minor"/>
    </font>
  </fonts>
  <fills count="1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3"/>
        <bgColor indexed="64"/>
      </patternFill>
    </fill>
    <fill>
      <patternFill patternType="solid">
        <fgColor theme="3"/>
        <bgColor theme="4"/>
      </patternFill>
    </fill>
    <fill>
      <patternFill patternType="solid">
        <fgColor theme="5"/>
        <bgColor indexed="64"/>
      </patternFill>
    </fill>
    <fill>
      <patternFill patternType="solid">
        <fgColor theme="5"/>
        <bgColor theme="4"/>
      </patternFill>
    </fill>
    <fill>
      <patternFill patternType="solid">
        <fgColor theme="6"/>
        <bgColor indexed="64"/>
      </patternFill>
    </fill>
    <fill>
      <patternFill patternType="solid">
        <fgColor theme="6" tint="-0.249977111117893"/>
        <bgColor indexed="64"/>
      </patternFill>
    </fill>
    <fill>
      <patternFill patternType="solid">
        <fgColor theme="6" tint="-0.249977111117893"/>
        <bgColor theme="4"/>
      </patternFill>
    </fill>
  </fills>
  <borders count="2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medium">
        <color theme="0" tint="-0.14996795556505021"/>
      </bottom>
      <diagonal/>
    </border>
    <border>
      <left style="thin">
        <color theme="0" tint="-0.14993743705557422"/>
      </left>
      <right style="thin">
        <color theme="0" tint="-0.14993743705557422"/>
      </right>
      <top/>
      <bottom style="medium">
        <color theme="0" tint="-0.14996795556505021"/>
      </bottom>
      <diagonal/>
    </border>
    <border>
      <left style="thin">
        <color theme="0" tint="-0.14993743705557422"/>
      </left>
      <right style="thin">
        <color theme="0" tint="-0.14993743705557422"/>
      </right>
      <top/>
      <bottom/>
      <diagonal/>
    </border>
    <border>
      <left/>
      <right/>
      <top style="thin">
        <color theme="8"/>
      </top>
      <bottom/>
      <diagonal/>
    </border>
    <border>
      <left/>
      <right style="thin">
        <color theme="8" tint="0.79998168889431442"/>
      </right>
      <top style="medium">
        <color theme="8"/>
      </top>
      <bottom/>
      <diagonal/>
    </border>
    <border>
      <left/>
      <right/>
      <top style="thin">
        <color theme="8"/>
      </top>
      <bottom style="medium">
        <color theme="8"/>
      </bottom>
      <diagonal/>
    </border>
    <border>
      <left/>
      <right/>
      <top style="thin">
        <color theme="3"/>
      </top>
      <bottom style="thin">
        <color theme="3"/>
      </bottom>
      <diagonal/>
    </border>
    <border>
      <left/>
      <right style="thin">
        <color theme="0" tint="-0.24994659260841701"/>
      </right>
      <top style="thin">
        <color theme="3"/>
      </top>
      <bottom/>
      <diagonal/>
    </border>
    <border>
      <left style="thin">
        <color theme="3"/>
      </left>
      <right/>
      <top style="thin">
        <color theme="3"/>
      </top>
      <bottom style="thin">
        <color theme="3"/>
      </bottom>
      <diagonal/>
    </border>
    <border>
      <left/>
      <right style="thin">
        <color theme="3"/>
      </right>
      <top style="thin">
        <color theme="3"/>
      </top>
      <bottom style="thin">
        <color theme="3"/>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bottom/>
      <diagonal/>
    </border>
    <border>
      <left style="thin">
        <color theme="0"/>
      </left>
      <right style="thin">
        <color theme="0"/>
      </right>
      <top/>
      <bottom style="thin">
        <color theme="3"/>
      </bottom>
      <diagonal/>
    </border>
    <border>
      <left/>
      <right style="thin">
        <color theme="0"/>
      </right>
      <top style="thin">
        <color theme="3"/>
      </top>
      <bottom/>
      <diagonal/>
    </border>
    <border>
      <left/>
      <right style="thin">
        <color theme="8" tint="0.79998168889431442"/>
      </right>
      <top/>
      <bottom style="thin">
        <color theme="3"/>
      </bottom>
      <diagonal/>
    </border>
    <border>
      <left style="thin">
        <color theme="0"/>
      </left>
      <right style="thin">
        <color theme="0"/>
      </right>
      <top style="thin">
        <color theme="3"/>
      </top>
      <bottom/>
      <diagonal/>
    </border>
    <border>
      <left/>
      <right style="thin">
        <color theme="0"/>
      </right>
      <top/>
      <bottom style="thin">
        <color theme="3"/>
      </bottom>
      <diagonal/>
    </border>
    <border>
      <left/>
      <right style="thin">
        <color theme="0"/>
      </right>
      <top/>
      <bottom/>
      <diagonal/>
    </border>
    <border>
      <left/>
      <right/>
      <top/>
      <bottom style="thin">
        <color theme="8"/>
      </bottom>
      <diagonal/>
    </border>
  </borders>
  <cellStyleXfs count="13">
    <xf numFmtId="0" fontId="0" fillId="0" borderId="0"/>
    <xf numFmtId="0" fontId="1" fillId="0" borderId="0" applyNumberFormat="0" applyFill="0" applyBorder="0" applyAlignment="0" applyProtection="0">
      <alignment vertical="top"/>
      <protection locked="0"/>
    </xf>
    <xf numFmtId="9" fontId="3" fillId="0" borderId="0" applyFont="0" applyFill="0" applyBorder="0" applyProtection="0">
      <alignment horizontal="center" vertical="center"/>
    </xf>
    <xf numFmtId="0" fontId="5" fillId="0" borderId="0"/>
    <xf numFmtId="176" fontId="3" fillId="0" borderId="1" applyFont="0" applyFill="0" applyAlignment="0" applyProtection="0"/>
    <xf numFmtId="0" fontId="8" fillId="0" borderId="0" applyNumberFormat="0" applyFill="0" applyBorder="0" applyAlignment="0" applyProtection="0"/>
    <xf numFmtId="0" fontId="9" fillId="0" borderId="0" applyNumberFormat="0" applyFill="0" applyAlignment="0" applyProtection="0"/>
    <xf numFmtId="0" fontId="12" fillId="0" borderId="7" applyNumberFormat="0" applyFill="0" applyProtection="0"/>
    <xf numFmtId="0" fontId="10" fillId="0" borderId="0" applyNumberFormat="0" applyFill="0" applyProtection="0">
      <alignment horizontal="right" vertical="center" indent="1"/>
    </xf>
    <xf numFmtId="14" fontId="10" fillId="0" borderId="0" applyFill="0" applyBorder="0">
      <alignment horizontal="center" vertical="center"/>
    </xf>
    <xf numFmtId="178" fontId="3" fillId="0" borderId="0" applyFont="0" applyFill="0" applyBorder="0" applyProtection="0">
      <alignment horizontal="center" vertical="center"/>
    </xf>
    <xf numFmtId="0" fontId="7" fillId="3" borderId="6" applyNumberFormat="0" applyProtection="0">
      <alignment horizontal="center" vertical="center"/>
    </xf>
    <xf numFmtId="0" fontId="11" fillId="0" borderId="0" applyNumberFormat="0" applyFill="0" applyBorder="0" applyAlignment="0" applyProtection="0"/>
  </cellStyleXfs>
  <cellXfs count="114">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4" fillId="0" borderId="0" xfId="0" applyFont="1"/>
    <xf numFmtId="0" fontId="5" fillId="0" borderId="0" xfId="3"/>
    <xf numFmtId="0" fontId="5" fillId="0" borderId="0" xfId="3" applyAlignment="1">
      <alignment wrapText="1"/>
    </xf>
    <xf numFmtId="0" fontId="5" fillId="0" borderId="0" xfId="0" applyFont="1" applyAlignment="1">
      <alignment horizontal="center"/>
    </xf>
    <xf numFmtId="0" fontId="0" fillId="2" borderId="0" xfId="0" applyFill="1"/>
    <xf numFmtId="0" fontId="0" fillId="0" borderId="0" xfId="0" applyAlignment="1">
      <alignment horizontal="center" vertical="center" wrapText="1"/>
    </xf>
    <xf numFmtId="9" fontId="0" fillId="0" borderId="0" xfId="2" applyFont="1" applyFill="1" applyBorder="1">
      <alignment horizontal="center" vertical="center"/>
    </xf>
    <xf numFmtId="14" fontId="0" fillId="0" borderId="0" xfId="9" applyFont="1" applyFill="1" applyBorder="1">
      <alignment horizontal="center" vertical="center"/>
    </xf>
    <xf numFmtId="178" fontId="0" fillId="0" borderId="0" xfId="10" applyFont="1" applyFill="1" applyBorder="1">
      <alignment horizontal="center" vertical="center"/>
    </xf>
    <xf numFmtId="0" fontId="0" fillId="0" borderId="0" xfId="0" applyAlignment="1">
      <alignment horizontal="center" vertical="center"/>
    </xf>
    <xf numFmtId="0" fontId="0" fillId="2" borderId="3" xfId="0" applyFill="1" applyBorder="1" applyAlignment="1">
      <alignment horizontal="center" vertical="center"/>
    </xf>
    <xf numFmtId="0" fontId="2" fillId="2" borderId="2" xfId="0" applyFont="1" applyFill="1" applyBorder="1" applyAlignment="1">
      <alignment horizontal="center" vertical="center"/>
    </xf>
    <xf numFmtId="0" fontId="0" fillId="0" borderId="0" xfId="0" applyAlignment="1">
      <alignment horizontal="left" wrapText="1" indent="2"/>
    </xf>
    <xf numFmtId="0" fontId="0" fillId="2" borderId="0" xfId="0" applyFill="1" applyAlignment="1">
      <alignment horizontal="center"/>
    </xf>
    <xf numFmtId="0" fontId="11" fillId="0" borderId="0" xfId="12" applyAlignment="1">
      <alignment wrapText="1"/>
    </xf>
    <xf numFmtId="0" fontId="11" fillId="0" borderId="0" xfId="12" applyAlignment="1">
      <alignment horizontal="center" vertical="center" wrapText="1"/>
    </xf>
    <xf numFmtId="0" fontId="0" fillId="0" borderId="4" xfId="0" applyBorder="1" applyAlignment="1">
      <alignment vertical="center"/>
    </xf>
    <xf numFmtId="0" fontId="0" fillId="4" borderId="0" xfId="0" applyFill="1" applyAlignment="1">
      <alignment horizontal="left" vertical="center" indent="1"/>
    </xf>
    <xf numFmtId="0" fontId="0" fillId="4" borderId="0" xfId="0" applyFill="1" applyAlignment="1">
      <alignment horizontal="center" vertical="center" wrapText="1"/>
    </xf>
    <xf numFmtId="0" fontId="12" fillId="0" borderId="5" xfId="7" applyBorder="1"/>
    <xf numFmtId="177" fontId="7" fillId="4" borderId="9" xfId="11" applyNumberFormat="1" applyFill="1" applyBorder="1">
      <alignment horizontal="center" vertical="center"/>
    </xf>
    <xf numFmtId="0" fontId="12" fillId="0" borderId="0" xfId="7" applyBorder="1"/>
    <xf numFmtId="0" fontId="0" fillId="0" borderId="12" xfId="0" applyBorder="1" applyAlignment="1">
      <alignment horizontal="center" vertical="center"/>
    </xf>
    <xf numFmtId="0" fontId="2" fillId="0" borderId="13" xfId="0" applyFont="1" applyBorder="1" applyAlignment="1">
      <alignment horizontal="center" vertical="center"/>
    </xf>
    <xf numFmtId="0" fontId="0" fillId="6" borderId="0" xfId="0" applyFill="1" applyAlignment="1">
      <alignment horizontal="left" vertical="center" indent="1"/>
    </xf>
    <xf numFmtId="0" fontId="0" fillId="6" borderId="0" xfId="0" applyFill="1" applyAlignment="1">
      <alignment horizontal="center" vertical="center" wrapText="1"/>
    </xf>
    <xf numFmtId="0" fontId="0" fillId="8" borderId="10" xfId="0" applyFill="1" applyBorder="1"/>
    <xf numFmtId="0" fontId="10" fillId="8" borderId="8" xfId="8" applyFill="1" applyBorder="1">
      <alignment horizontal="right" vertical="center" indent="1"/>
    </xf>
    <xf numFmtId="0" fontId="0" fillId="8" borderId="11" xfId="0" applyFill="1" applyBorder="1"/>
    <xf numFmtId="0" fontId="0" fillId="6" borderId="10" xfId="0" applyFill="1" applyBorder="1"/>
    <xf numFmtId="0" fontId="10" fillId="6" borderId="8" xfId="8" applyFill="1" applyBorder="1">
      <alignment horizontal="right" vertical="center" indent="1"/>
    </xf>
    <xf numFmtId="0" fontId="0" fillId="6" borderId="11" xfId="0" applyFill="1" applyBorder="1"/>
    <xf numFmtId="0" fontId="0" fillId="4" borderId="10" xfId="0" applyFill="1" applyBorder="1"/>
    <xf numFmtId="0" fontId="10" fillId="4" borderId="8" xfId="8" applyFill="1" applyBorder="1">
      <alignment horizontal="right" vertical="center" indent="1"/>
    </xf>
    <xf numFmtId="0" fontId="0" fillId="4" borderId="11" xfId="0" applyFill="1" applyBorder="1"/>
    <xf numFmtId="0" fontId="0" fillId="2" borderId="0" xfId="0" applyFill="1" applyAlignment="1">
      <alignment vertical="center"/>
    </xf>
    <xf numFmtId="0" fontId="14" fillId="0" borderId="0" xfId="0" applyFont="1" applyAlignment="1">
      <alignment horizontal="left" vertical="center" wrapText="1"/>
    </xf>
    <xf numFmtId="0" fontId="0" fillId="0" borderId="0" xfId="0" applyAlignment="1">
      <alignment horizontal="left" vertical="center" wrapText="1"/>
    </xf>
    <xf numFmtId="14" fontId="2" fillId="0" borderId="0" xfId="9" applyFont="1" applyFill="1" applyBorder="1">
      <alignment horizontal="center" vertical="center"/>
    </xf>
    <xf numFmtId="9" fontId="16" fillId="0" borderId="0" xfId="2" applyFont="1" applyFill="1" applyBorder="1">
      <alignment horizontal="center" vertical="center"/>
    </xf>
    <xf numFmtId="9" fontId="15" fillId="0" borderId="0" xfId="2" applyFont="1" applyFill="1" applyBorder="1">
      <alignment horizontal="center" vertical="center"/>
    </xf>
    <xf numFmtId="0" fontId="17" fillId="2" borderId="0" xfId="0" applyFont="1" applyFill="1" applyAlignment="1">
      <alignment horizontal="left" vertical="center"/>
    </xf>
    <xf numFmtId="0" fontId="2" fillId="2" borderId="0" xfId="0" applyFont="1" applyFill="1" applyAlignment="1">
      <alignment vertical="center"/>
    </xf>
    <xf numFmtId="14" fontId="2" fillId="0" borderId="0" xfId="9" applyFont="1" applyFill="1" applyBorder="1" applyAlignment="1">
      <alignment horizontal="left" vertical="center"/>
    </xf>
    <xf numFmtId="0" fontId="2" fillId="0" borderId="0" xfId="0" applyFont="1" applyAlignment="1">
      <alignment horizontal="left" vertical="center"/>
    </xf>
    <xf numFmtId="0" fontId="0" fillId="0" borderId="0" xfId="0" applyAlignment="1">
      <alignment horizontal="left" vertical="center" wrapText="1" indent="1"/>
    </xf>
    <xf numFmtId="0" fontId="7" fillId="6" borderId="14" xfId="0" applyFont="1" applyFill="1" applyBorder="1" applyAlignment="1">
      <alignment horizontal="center" vertical="center" shrinkToFit="1"/>
    </xf>
    <xf numFmtId="177" fontId="7" fillId="6" borderId="15" xfId="11" applyNumberFormat="1" applyFill="1" applyBorder="1">
      <alignment horizontal="center" vertical="center"/>
    </xf>
    <xf numFmtId="177" fontId="7" fillId="6" borderId="17" xfId="11" applyNumberFormat="1" applyFill="1" applyBorder="1">
      <alignment horizontal="center" vertical="center"/>
    </xf>
    <xf numFmtId="0" fontId="7" fillId="6" borderId="18" xfId="0" applyFont="1" applyFill="1" applyBorder="1" applyAlignment="1">
      <alignment horizontal="center" vertical="center" shrinkToFit="1"/>
    </xf>
    <xf numFmtId="177" fontId="7" fillId="4" borderId="15" xfId="11" applyNumberFormat="1" applyFill="1" applyBorder="1">
      <alignment horizontal="center" vertical="center"/>
    </xf>
    <xf numFmtId="0" fontId="7" fillId="4" borderId="16" xfId="0" applyFont="1" applyFill="1" applyBorder="1" applyAlignment="1">
      <alignment horizontal="center" vertical="center" shrinkToFit="1"/>
    </xf>
    <xf numFmtId="177" fontId="7" fillId="4" borderId="17" xfId="11" applyNumberFormat="1" applyFill="1" applyBorder="1">
      <alignment horizontal="center" vertical="center"/>
    </xf>
    <xf numFmtId="0" fontId="7" fillId="4" borderId="14" xfId="0" applyFont="1" applyFill="1" applyBorder="1" applyAlignment="1">
      <alignment horizontal="center" vertical="center" shrinkToFit="1"/>
    </xf>
    <xf numFmtId="0" fontId="7" fillId="4" borderId="18" xfId="0" applyFont="1" applyFill="1" applyBorder="1" applyAlignment="1">
      <alignment horizontal="center" vertical="center" shrinkToFit="1"/>
    </xf>
    <xf numFmtId="0" fontId="6" fillId="5" borderId="19" xfId="0" applyFont="1" applyFill="1" applyBorder="1" applyAlignment="1">
      <alignment horizontal="center" vertical="center" wrapText="1"/>
    </xf>
    <xf numFmtId="0" fontId="5" fillId="0" borderId="0" xfId="3" applyAlignment="1">
      <alignment vertical="center" wrapText="1"/>
    </xf>
    <xf numFmtId="0" fontId="13" fillId="2" borderId="0" xfId="0" applyFont="1" applyFill="1" applyAlignment="1">
      <alignment horizontal="center" vertical="center"/>
    </xf>
    <xf numFmtId="0" fontId="2" fillId="0" borderId="0" xfId="8" applyFont="1" applyAlignment="1">
      <alignment horizontal="left" vertical="center" indent="1"/>
    </xf>
    <xf numFmtId="0" fontId="2" fillId="0" borderId="0" xfId="0" applyFont="1" applyAlignment="1">
      <alignment horizontal="left"/>
    </xf>
    <xf numFmtId="0" fontId="2" fillId="0" borderId="0" xfId="8" applyFont="1" applyAlignment="1">
      <alignment horizontal="left" vertical="center" wrapText="1" indent="1"/>
    </xf>
    <xf numFmtId="0" fontId="13" fillId="2" borderId="0" xfId="0" applyFont="1" applyFill="1" applyAlignment="1">
      <alignment vertical="center"/>
    </xf>
    <xf numFmtId="177" fontId="7" fillId="6" borderId="9" xfId="11" applyNumberFormat="1" applyFill="1" applyBorder="1">
      <alignment horizontal="center" vertical="center"/>
    </xf>
    <xf numFmtId="0" fontId="7" fillId="6" borderId="16" xfId="0" applyFont="1" applyFill="1" applyBorder="1" applyAlignment="1">
      <alignment horizontal="center" vertical="center" shrinkToFit="1"/>
    </xf>
    <xf numFmtId="0" fontId="6" fillId="7" borderId="19" xfId="0" applyFont="1" applyFill="1" applyBorder="1" applyAlignment="1">
      <alignment horizontal="center" vertical="center" wrapText="1"/>
    </xf>
    <xf numFmtId="0" fontId="19" fillId="2" borderId="0" xfId="5" applyFont="1" applyFill="1" applyAlignment="1">
      <alignment horizontal="left" vertical="center" indent="1"/>
    </xf>
    <xf numFmtId="0" fontId="18" fillId="2" borderId="0" xfId="5" applyFont="1" applyFill="1" applyAlignment="1">
      <alignment horizontal="left" vertical="center" indent="1"/>
    </xf>
    <xf numFmtId="0" fontId="0" fillId="0" borderId="20" xfId="0" applyBorder="1" applyAlignment="1">
      <alignment horizontal="center"/>
    </xf>
    <xf numFmtId="0" fontId="17" fillId="0" borderId="0" xfId="0" applyFont="1" applyAlignment="1">
      <alignment horizontal="left" vertical="center"/>
    </xf>
    <xf numFmtId="0" fontId="2" fillId="0" borderId="0" xfId="0" applyFont="1" applyAlignment="1">
      <alignment vertical="center"/>
    </xf>
    <xf numFmtId="0" fontId="13" fillId="0" borderId="0" xfId="0" applyFont="1" applyAlignment="1">
      <alignment horizontal="center" vertical="center"/>
    </xf>
    <xf numFmtId="0" fontId="13" fillId="0" borderId="0" xfId="0" applyFont="1" applyAlignment="1">
      <alignment vertical="center"/>
    </xf>
    <xf numFmtId="0" fontId="20" fillId="0" borderId="0" xfId="5" applyFont="1" applyFill="1" applyAlignment="1">
      <alignment horizontal="left" vertical="center" indent="1"/>
    </xf>
    <xf numFmtId="0" fontId="21" fillId="0" borderId="0" xfId="7" applyFont="1" applyBorder="1"/>
    <xf numFmtId="0" fontId="21" fillId="0" borderId="5" xfId="7" applyFont="1" applyBorder="1"/>
    <xf numFmtId="9" fontId="22" fillId="0" borderId="0" xfId="2" applyFont="1" applyFill="1" applyBorder="1">
      <alignment horizontal="center" vertical="center"/>
    </xf>
    <xf numFmtId="9" fontId="2" fillId="0" borderId="0" xfId="2" applyFont="1" applyFill="1" applyBorder="1">
      <alignment horizontal="center" vertical="center"/>
    </xf>
    <xf numFmtId="9" fontId="23" fillId="0" borderId="0" xfId="2" applyFont="1" applyFill="1" applyBorder="1">
      <alignment horizontal="center" vertical="center"/>
    </xf>
    <xf numFmtId="9" fontId="24" fillId="0" borderId="0" xfId="2" applyFont="1" applyFill="1" applyBorder="1">
      <alignment horizontal="center" vertical="center"/>
    </xf>
    <xf numFmtId="0" fontId="7" fillId="9" borderId="18" xfId="0" applyFont="1" applyFill="1" applyBorder="1" applyAlignment="1">
      <alignment horizontal="center" vertical="center" shrinkToFit="1"/>
    </xf>
    <xf numFmtId="0" fontId="7" fillId="9" borderId="14" xfId="0" applyFont="1" applyFill="1" applyBorder="1" applyAlignment="1">
      <alignment horizontal="center" vertical="center" shrinkToFit="1"/>
    </xf>
    <xf numFmtId="0" fontId="7" fillId="9" borderId="16" xfId="0" applyFont="1" applyFill="1" applyBorder="1" applyAlignment="1">
      <alignment horizontal="center" vertical="center" shrinkToFit="1"/>
    </xf>
    <xf numFmtId="177" fontId="7" fillId="9" borderId="15" xfId="11" applyNumberFormat="1" applyFill="1" applyBorder="1">
      <alignment horizontal="center" vertical="center"/>
    </xf>
    <xf numFmtId="177" fontId="7" fillId="9" borderId="17" xfId="11" applyNumberFormat="1" applyFill="1" applyBorder="1">
      <alignment horizontal="center" vertical="center"/>
    </xf>
    <xf numFmtId="177" fontId="7" fillId="9" borderId="9" xfId="11" applyNumberFormat="1" applyFill="1" applyBorder="1">
      <alignment horizontal="center" vertical="center"/>
    </xf>
    <xf numFmtId="0" fontId="6" fillId="10" borderId="19" xfId="0" applyFont="1" applyFill="1" applyBorder="1" applyAlignment="1">
      <alignment horizontal="center" vertical="center" wrapText="1"/>
    </xf>
    <xf numFmtId="0" fontId="26" fillId="2" borderId="0" xfId="6" applyFont="1" applyFill="1" applyAlignment="1">
      <alignment vertical="center" wrapText="1"/>
    </xf>
    <xf numFmtId="0" fontId="27" fillId="2" borderId="0" xfId="0" applyFont="1" applyFill="1"/>
    <xf numFmtId="0" fontId="27" fillId="0" borderId="0" xfId="0" applyFont="1"/>
    <xf numFmtId="0" fontId="26" fillId="2" borderId="0" xfId="6" applyFont="1" applyFill="1" applyAlignment="1">
      <alignment horizontal="left" vertical="center" wrapText="1"/>
    </xf>
    <xf numFmtId="0" fontId="28" fillId="2" borderId="0" xfId="0" applyFont="1" applyFill="1" applyAlignment="1">
      <alignment wrapText="1"/>
    </xf>
    <xf numFmtId="0" fontId="29" fillId="2" borderId="0" xfId="0" applyFont="1" applyFill="1"/>
    <xf numFmtId="0" fontId="29" fillId="0" borderId="0" xfId="0" applyFont="1"/>
    <xf numFmtId="0" fontId="29" fillId="0" borderId="0" xfId="0" applyFont="1" applyAlignment="1">
      <alignment vertical="top"/>
    </xf>
    <xf numFmtId="0" fontId="30" fillId="2" borderId="0" xfId="5" applyFont="1" applyFill="1" applyAlignment="1">
      <alignment horizontal="left" vertical="center" indent="1"/>
    </xf>
    <xf numFmtId="0" fontId="31" fillId="0" borderId="0" xfId="1" applyFont="1" applyAlignment="1" applyProtection="1"/>
    <xf numFmtId="0" fontId="32" fillId="0" borderId="0" xfId="0" applyFont="1"/>
    <xf numFmtId="0" fontId="32" fillId="0" borderId="0" xfId="0" applyFont="1" applyAlignment="1">
      <alignment horizontal="center"/>
    </xf>
    <xf numFmtId="0" fontId="33" fillId="9" borderId="0" xfId="0" applyFont="1" applyFill="1" applyAlignment="1">
      <alignment horizontal="left" vertical="center" indent="1"/>
    </xf>
    <xf numFmtId="0" fontId="33" fillId="9" borderId="0" xfId="0" applyFont="1" applyFill="1" applyAlignment="1">
      <alignment horizontal="center" vertical="center" wrapText="1"/>
    </xf>
    <xf numFmtId="0" fontId="2" fillId="0" borderId="20" xfId="8" applyFont="1" applyBorder="1" applyAlignment="1">
      <alignment horizontal="center" vertical="center"/>
    </xf>
    <xf numFmtId="0" fontId="34" fillId="0" borderId="0" xfId="6" applyFont="1" applyFill="1" applyAlignment="1">
      <alignment vertical="center"/>
    </xf>
    <xf numFmtId="0" fontId="35" fillId="8" borderId="0" xfId="0" applyFont="1" applyFill="1"/>
    <xf numFmtId="0" fontId="36" fillId="8" borderId="0" xfId="6" applyFont="1" applyFill="1" applyAlignment="1">
      <alignment horizontal="left" vertical="center"/>
    </xf>
    <xf numFmtId="0" fontId="27" fillId="8" borderId="0" xfId="0" applyFont="1" applyFill="1"/>
    <xf numFmtId="0" fontId="35" fillId="2" borderId="0" xfId="0" applyFont="1" applyFill="1"/>
    <xf numFmtId="0" fontId="37" fillId="2" borderId="0" xfId="6" applyFont="1" applyFill="1" applyAlignment="1">
      <alignment vertical="center"/>
    </xf>
    <xf numFmtId="0" fontId="38" fillId="0" borderId="0" xfId="0" applyFont="1"/>
    <xf numFmtId="0" fontId="38" fillId="2" borderId="0" xfId="0" applyFont="1" applyFill="1"/>
    <xf numFmtId="0" fontId="38" fillId="0" borderId="0" xfId="0" applyFont="1" applyAlignment="1">
      <alignment vertical="top"/>
    </xf>
  </cellXfs>
  <cellStyles count="13">
    <cellStyle name="z숨겨진텍스트" xfId="3" xr:uid="{26E66EE6-E33F-4D77-BAE4-0FB4F5BBF673}"/>
    <cellStyle name="날짜" xfId="9" xr:uid="{229918B6-DD13-4F5A-97B9-305F7E002AA3}"/>
    <cellStyle name="백분율" xfId="2" builtinId="5" customBuiltin="1"/>
    <cellStyle name="설명 텍스트" xfId="12" builtinId="53"/>
    <cellStyle name="쉼표" xfId="4" builtinId="3" customBuiltin="1"/>
    <cellStyle name="쉼표 [0]" xfId="10" builtinId="6" customBuiltin="1"/>
    <cellStyle name="제목" xfId="5" builtinId="15" customBuiltin="1"/>
    <cellStyle name="제목 1" xfId="6" builtinId="16" customBuiltin="1"/>
    <cellStyle name="제목 2" xfId="7" builtinId="17" customBuiltin="1"/>
    <cellStyle name="제목 3" xfId="8" builtinId="18" customBuiltin="1"/>
    <cellStyle name="제목 4" xfId="11" builtinId="19" customBuiltin="1"/>
    <cellStyle name="표준" xfId="0" builtinId="0" customBuiltin="1"/>
    <cellStyle name="하이퍼링크" xfId="1" builtinId="8" customBuiltin="1"/>
  </cellStyles>
  <dxfs count="28">
    <dxf>
      <fill>
        <patternFill>
          <bgColor theme="3"/>
        </patternFill>
      </fill>
    </dxf>
    <dxf>
      <font>
        <color theme="8" tint="-0.499984740745262"/>
      </font>
      <fill>
        <patternFill>
          <bgColor theme="0" tint="-4.9989318521683403E-2"/>
        </patternFill>
      </fill>
      <border>
        <right/>
      </border>
    </dxf>
    <dxf>
      <fill>
        <patternFill>
          <bgColor theme="3" tint="0.59996337778862885"/>
        </patternFill>
      </fill>
      <border>
        <left/>
        <right/>
        <top/>
        <bottom/>
      </border>
    </dxf>
    <dxf>
      <fill>
        <patternFill>
          <bgColor theme="0" tint="-4.9989318521683403E-2"/>
        </patternFill>
      </fill>
      <border>
        <left/>
        <right/>
        <top/>
        <bottom/>
        <vertical/>
        <horizontal/>
      </border>
    </dxf>
    <dxf>
      <numFmt numFmtId="178" formatCode="#,##0_);\(#,##0\)"/>
    </dxf>
    <dxf>
      <fill>
        <patternFill patternType="solid">
          <bgColor theme="5"/>
        </patternFill>
      </fill>
    </dxf>
    <dxf>
      <font>
        <color theme="8" tint="-0.499984740745262"/>
      </font>
      <fill>
        <patternFill>
          <bgColor theme="0" tint="-4.9989318521683403E-2"/>
        </patternFill>
      </fill>
      <border>
        <right/>
      </border>
    </dxf>
    <dxf>
      <fill>
        <patternFill>
          <bgColor theme="5" tint="0.59996337778862885"/>
        </patternFill>
      </fill>
      <border>
        <left/>
        <right/>
        <top/>
        <bottom/>
      </border>
    </dxf>
    <dxf>
      <fill>
        <patternFill>
          <bgColor theme="0" tint="-4.9989318521683403E-2"/>
        </patternFill>
      </fill>
      <border>
        <left/>
        <right/>
        <top/>
        <bottom/>
        <vertical/>
        <horizontal/>
      </border>
    </dxf>
    <dxf>
      <numFmt numFmtId="178" formatCode="#,##0_);\(#,##0\)"/>
    </dxf>
    <dxf>
      <font>
        <b val="0"/>
        <family val="3"/>
        <charset val="129"/>
      </font>
      <fill>
        <patternFill patternType="solid">
          <fgColor indexed="64"/>
          <bgColor theme="6" tint="-0.249977111117893"/>
        </patternFill>
      </fill>
    </dxf>
    <dxf>
      <font>
        <color theme="8" tint="-0.499984740745262"/>
      </font>
      <fill>
        <patternFill>
          <bgColor theme="0" tint="-4.9989318521683403E-2"/>
        </patternFill>
      </fill>
      <border>
        <right/>
      </border>
    </dxf>
    <dxf>
      <fill>
        <patternFill>
          <bgColor theme="6" tint="0.59996337778862885"/>
        </patternFill>
      </fill>
      <border>
        <left/>
        <right/>
        <top/>
        <bottom/>
      </border>
    </dxf>
    <dxf>
      <fill>
        <patternFill>
          <bgColor theme="0" tint="-4.9989318521683403E-2"/>
        </patternFill>
      </fill>
      <border>
        <left/>
        <right/>
        <top/>
        <bottom/>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border diagonalUp="0" diagonalDown="0">
        <left/>
        <right/>
        <top/>
        <bottom/>
        <vertical/>
        <horizontal/>
      </border>
    </dxf>
    <dxf>
      <border diagonalUp="0" diagonalDown="0">
        <left/>
        <right/>
        <top/>
        <bottom/>
        <vertical/>
        <horizontal/>
      </border>
    </dxf>
    <dxf>
      <fill>
        <patternFill patternType="none">
          <fgColor indexed="64"/>
          <bgColor auto="1"/>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color auto="1"/>
      </font>
      <fill>
        <patternFill>
          <bgColor theme="0" tint="-4.9989318521683403E-2"/>
        </patternFill>
      </fill>
      <border diagonalUp="0" diagonalDown="0">
        <left/>
        <right/>
        <top/>
        <bottom/>
        <vertical/>
        <horizontal/>
      </border>
    </dxf>
  </dxfs>
  <tableStyles count="2" defaultPivotStyle="PivotStyleLight16">
    <tableStyle name="Gantt 테이블 스타일" pivot="0" count="5" xr9:uid="{4904D139-63E4-4221-B7C9-C6C5B7A50FAF}">
      <tableStyleElement type="wholeTable" dxfId="27"/>
      <tableStyleElement type="headerRow" dxfId="26"/>
      <tableStyleElement type="firstRowStripe" dxfId="25"/>
      <tableStyleElement type="firstColumnStripe" dxfId="24"/>
      <tableStyleElement type="secondColumnStripe" dxfId="23"/>
    </tableStyle>
    <tableStyle name="할일목록" pivot="0" count="9" xr9:uid="{00000000-0011-0000-FFFF-FFFF00000000}">
      <tableStyleElement type="wholeTable" dxfId="22"/>
      <tableStyleElement type="headerRow" dxfId="21"/>
      <tableStyleElement type="totalRow" dxfId="20"/>
      <tableStyleElement type="firstColumn" dxfId="19"/>
      <tableStyleElement type="lastColumn" dxfId="18"/>
      <tableStyleElement type="firstRowStripe" dxfId="17"/>
      <tableStyleElement type="secondRowStripe" dxfId="16"/>
      <tableStyleElement type="firstColumnStripe" dxfId="15"/>
      <tableStyleElement type="secondColumnStripe" dxfId="1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alcChain" Target="/xl/calcChain.xml" Id="rId8" /><Relationship Type="http://schemas.openxmlformats.org/officeDocument/2006/relationships/worksheet" Target="/xl/worksheets/sheet31.xml" Id="rId3" /><Relationship Type="http://schemas.openxmlformats.org/officeDocument/2006/relationships/sharedStrings" Target="/xl/sharedStrings.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tyles" Target="/xl/styles.xml" Id="rId6" /><Relationship Type="http://schemas.openxmlformats.org/officeDocument/2006/relationships/theme" Target="/xl/theme/theme11.xml" Id="rId5" /><Relationship Type="http://schemas.openxmlformats.org/officeDocument/2006/relationships/worksheet" Target="/xl/worksheets/sheet44.xml" Id="rId4" /></Relationships>
</file>

<file path=xl/ctrlProps/ctrlProp2.xml><?xml version="1.0" encoding="utf-8"?>
<formControlPr xmlns="http://schemas.microsoft.com/office/spreadsheetml/2009/9/main" objectType="Scroll" dx="39" fmlaLink="$U$5" horiz="1" max="365" page="0" val="13"/>
</file>

<file path=xl/ctrlProps/ctrlProp12.xml><?xml version="1.0" encoding="utf-8"?>
<formControlPr xmlns="http://schemas.microsoft.com/office/spreadsheetml/2009/9/main" objectType="Scroll" dx="39" fmlaLink="$U$5" horiz="1" max="365" page="0" val="13"/>
</file>

<file path=xl/ctrlProps/ctrlProp33.xml><?xml version="1.0" encoding="utf-8"?>
<formControlPr xmlns="http://schemas.microsoft.com/office/spreadsheetml/2009/9/main" objectType="Scroll" dx="39" fmlaLink="$U$5" horiz="1" max="365" page="0" val="13"/>
</file>

<file path=xl/drawings/_rels/drawing13.xml.rels>&#65279;<?xml version="1.0" encoding="utf-8"?><Relationships xmlns="http://schemas.openxmlformats.org/package/2006/relationships"><Relationship Type="http://schemas.openxmlformats.org/officeDocument/2006/relationships/image" Target="/xl/media/image2.svg" Id="rId2" /><Relationship Type="http://schemas.openxmlformats.org/officeDocument/2006/relationships/image" Target="/xl/media/image1.png" Id="rId1" /></Relationships>
</file>

<file path=xl/drawings/drawing13.xml><?xml version="1.0" encoding="utf-8"?>
<xdr:wsDr xmlns:xdr="http://schemas.openxmlformats.org/drawingml/2006/spreadsheetDrawing" xmlns:a="http://schemas.openxmlformats.org/drawingml/2006/main">
  <xdr:twoCellAnchor editAs="oneCell">
    <xdr:from>
      <xdr:col>2</xdr:col>
      <xdr:colOff>7962900</xdr:colOff>
      <xdr:row>1</xdr:row>
      <xdr:rowOff>15240</xdr:rowOff>
    </xdr:from>
    <xdr:to>
      <xdr:col>3</xdr:col>
      <xdr:colOff>128550</xdr:colOff>
      <xdr:row>1</xdr:row>
      <xdr:rowOff>600864</xdr:rowOff>
    </xdr:to>
    <xdr:pic>
      <xdr:nvPicPr>
        <xdr:cNvPr id="5" name="그래픽 4" descr="단색으로 채워진 Gantt 차트">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34400" y="329565"/>
          <a:ext cx="1519200" cy="58562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4</xdr:row>
          <xdr:rowOff>28575</xdr:rowOff>
        </xdr:from>
        <xdr:to>
          <xdr:col>12</xdr:col>
          <xdr:colOff>257175</xdr:colOff>
          <xdr:row>4</xdr:row>
          <xdr:rowOff>352425</xdr:rowOff>
        </xdr:to>
        <xdr:sp macro="" textlink="">
          <xdr:nvSpPr>
            <xdr:cNvPr id="15361" name="스크롤 막대 1" descr="Gantt 시간 표시줄을 스크롤하기 위한 스크롤 막대입니다."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4</xdr:row>
          <xdr:rowOff>28575</xdr:rowOff>
        </xdr:from>
        <xdr:to>
          <xdr:col>12</xdr:col>
          <xdr:colOff>257175</xdr:colOff>
          <xdr:row>4</xdr:row>
          <xdr:rowOff>352425</xdr:rowOff>
        </xdr:to>
        <xdr:sp macro="" textlink="">
          <xdr:nvSpPr>
            <xdr:cNvPr id="14337" name="스크롤 막대 1" descr="Gantt 시간 표시줄을 스크롤하기 위한 스크롤 막대입니다."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4</xdr:row>
          <xdr:rowOff>28575</xdr:rowOff>
        </xdr:from>
        <xdr:to>
          <xdr:col>12</xdr:col>
          <xdr:colOff>257175</xdr:colOff>
          <xdr:row>4</xdr:row>
          <xdr:rowOff>352425</xdr:rowOff>
        </xdr:to>
        <xdr:sp macro="" textlink="">
          <xdr:nvSpPr>
            <xdr:cNvPr id="6150" name="스크롤 막대 6" descr="Gantt 시간 표시줄을 스크롤하기 위한 스크롤 막대입니다."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E7DA96-2148-4820-AB9C-230AD0CA6702}" name="중요 시점34" displayName="중요_시점34" ref="B8:F34" headerRowDxfId="10">
  <autoFilter ref="B8:F34" xr:uid="{29E5A880-80D5-4B65-B5FB-8FB3913D3D27}">
    <filterColumn colId="0" hiddenButton="1"/>
    <filterColumn colId="1" hiddenButton="1"/>
    <filterColumn colId="2" hiddenButton="1"/>
    <filterColumn colId="3" hiddenButton="1"/>
    <filterColumn colId="4" hiddenButton="1"/>
  </autoFilter>
  <tableColumns count="5">
    <tableColumn id="1" xr3:uid="{97DEBD95-3A3B-4C26-817D-34A0DA6472E7}" name="중요 시점 설명" totalsRowLabel="요약"/>
    <tableColumn id="3" xr3:uid="{76EB9444-C31F-4CC3-88B2-0202B5893122}" name="담당자"/>
    <tableColumn id="4" xr3:uid="{52A1E4A6-5AE1-47AB-95DD-0B2C1394989A}" name="진행 상황"/>
    <tableColumn id="5" xr3:uid="{0671DF77-A989-41EA-819F-AF0A8A45AB0F}" name="시작"/>
    <tableColumn id="6" xr3:uid="{B1E97C69-5901-4994-8267-A58A1A9D9898}" name="요일" totalsRowFunction="sum" totalsRowDxfId="9"/>
  </tableColumns>
  <tableStyleInfo name="Gantt 테이블 스타일" showFirstColumn="1" showLastColumn="0" showRowStripes="1"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수 열에 일수를 입력합니다. "/>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262E6B-D397-41BC-8148-E03FF3C288A5}" name="중요 시점3" displayName="중요_시점3" ref="B8:F34" headerRowDxfId="5">
  <autoFilter ref="B8:F34" xr:uid="{29E5A880-80D5-4B65-B5FB-8FB3913D3D27}">
    <filterColumn colId="0" hiddenButton="1"/>
    <filterColumn colId="1" hiddenButton="1"/>
    <filterColumn colId="2" hiddenButton="1"/>
    <filterColumn colId="3" hiddenButton="1"/>
    <filterColumn colId="4" hiddenButton="1"/>
  </autoFilter>
  <tableColumns count="5">
    <tableColumn id="1" xr3:uid="{85ADADF1-A17A-4DDD-BD29-0513EA44BD28}" name="중요 시점 설명" totalsRowLabel="요약"/>
    <tableColumn id="3" xr3:uid="{7CE57B28-C7D6-4943-9CB2-5403F155663C}" name="담당자"/>
    <tableColumn id="4" xr3:uid="{4ABFA9C0-6C24-4FBD-B36B-5E50E5ED1573}" name="진행 상황"/>
    <tableColumn id="5" xr3:uid="{FDB2D45E-77F7-41D1-8F04-238D562FA535}" name="시작"/>
    <tableColumn id="6" xr3:uid="{B63E4B4E-8A77-4BDD-90B2-1DB4B39AD960}" name="요일" totalsRowFunction="sum" totalsRowDxfId="4"/>
  </tableColumns>
  <tableStyleInfo name="Gantt 테이블 스타일" showFirstColumn="1" showLastColumn="0" showRowStripes="1"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수 열에 일수를 입력합니다. "/>
    </ext>
  </extLst>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B51325-D3C3-4A05-BAB3-7A7400707A14}" name="중요 시점" displayName="중요_시점" ref="B8:F34" totalsRowShown="0" headerRowDxfId="0">
  <autoFilter ref="B8:F34" xr:uid="{29E5A880-80D5-4B65-B5FB-8FB3913D3D27}">
    <filterColumn colId="0" hiddenButton="1"/>
    <filterColumn colId="1" hiddenButton="1"/>
    <filterColumn colId="2" hiddenButton="1"/>
    <filterColumn colId="3" hiddenButton="1"/>
    <filterColumn colId="4" hiddenButton="1"/>
  </autoFilter>
  <tableColumns count="5">
    <tableColumn id="1" xr3:uid="{EE48C34E-B98C-4BBA-90C8-388E8655DD6D}" name="중요 시점 설명"/>
    <tableColumn id="3" xr3:uid="{5419FA1B-A035-4F0A-9257-1AA4BCB5E6CF}" name="담당자"/>
    <tableColumn id="4" xr3:uid="{A60A6524-18F0-48B7-BB3C-2F4A35799FF7}" name="진행 상황"/>
    <tableColumn id="5" xr3:uid="{59612C1F-9AAB-483B-A6A5-3563E9D77941}" name="시작"/>
    <tableColumn id="6" xr3:uid="{012C59F1-49D4-4A67-B8DD-855C6581FD6A}" name="요일"/>
  </tableColumns>
  <tableStyleInfo name="Gantt 테이블 스타일" showFirstColumn="1" showLastColumn="0" showRowStripes="1"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수 열에 일수를 입력합니다. "/>
    </ext>
  </extLst>
</table>
</file>

<file path=xl/theme/theme11.xml><?xml version="1.0" encoding="utf-8"?>
<a:theme xmlns:a="http://schemas.openxmlformats.org/drawingml/2006/main" name="Attitude">
  <a:themeElements>
    <a:clrScheme name="Cool Chart Colors">
      <a:dk1>
        <a:srgbClr val="122173"/>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3.xml.rels>&#65279;<?xml version="1.0" encoding="utf-8"?><Relationships xmlns="http://schemas.openxmlformats.org/package/2006/relationships"><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vmlDrawing" Target="/xl/drawings/vmlDrawing12.v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 Type="http://schemas.openxmlformats.org/officeDocument/2006/relationships/table" Target="/xl/tables/table12.xml" Id="rId5" /><Relationship Type="http://schemas.openxmlformats.org/officeDocument/2006/relationships/ctrlProp" Target="/xl/ctrlProps/ctrlProp12.xml" Id="rId4" /></Relationships>
</file>

<file path=xl/worksheets/_rels/sheet31.xml.rels>&#65279;<?xml version="1.0" encoding="utf-8"?><Relationships xmlns="http://schemas.openxmlformats.org/package/2006/relationships"><Relationship Type="http://schemas.openxmlformats.org/officeDocument/2006/relationships/vmlDrawing" Target="/xl/drawings/vmlDrawing2.v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 Type="http://schemas.openxmlformats.org/officeDocument/2006/relationships/table" Target="/xl/tables/table21.xml" Id="rId5" /><Relationship Type="http://schemas.openxmlformats.org/officeDocument/2006/relationships/ctrlProp" Target="/xl/ctrlProps/ctrlProp2.xml" Id="rId4" /></Relationships>
</file>

<file path=xl/worksheets/_rels/sheet44.xml.rels>&#65279;<?xml version="1.0" encoding="utf-8"?><Relationships xmlns="http://schemas.openxmlformats.org/package/2006/relationships"><Relationship Type="http://schemas.openxmlformats.org/officeDocument/2006/relationships/vmlDrawing" Target="/xl/drawings/vmlDrawing33.vml" Id="rId3" /><Relationship Type="http://schemas.openxmlformats.org/officeDocument/2006/relationships/drawing" Target="/xl/drawings/drawing44.xml" Id="rId2" /><Relationship Type="http://schemas.openxmlformats.org/officeDocument/2006/relationships/printerSettings" Target="/xl/printerSettings/printerSettings44.bin" Id="rId1" /><Relationship Type="http://schemas.openxmlformats.org/officeDocument/2006/relationships/table" Target="/xl/tables/table33.xml" Id="rId5" /><Relationship Type="http://schemas.openxmlformats.org/officeDocument/2006/relationships/ctrlProp" Target="/xl/ctrlProps/ctrlProp33.xml" Id="rId4"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D10"/>
  <sheetViews>
    <sheetView showGridLines="0" zoomScaleNormal="100" workbookViewId="0"/>
  </sheetViews>
  <sheetFormatPr defaultColWidth="9.125" defaultRowHeight="13.5"/>
  <cols>
    <col min="1" max="1" width="4.75" style="111" customWidth="1"/>
    <col min="2" max="2" width="2.75" style="111" customWidth="1"/>
    <col min="3" max="3" width="122.75" style="97" customWidth="1"/>
    <col min="4" max="4" width="2.75" style="96" customWidth="1"/>
    <col min="5" max="16384" width="9.125" style="96"/>
  </cols>
  <sheetData>
    <row r="1" spans="1:4" s="92" customFormat="1" ht="25.15" customHeight="1">
      <c r="C1" s="105"/>
    </row>
    <row r="2" spans="1:4" s="92" customFormat="1" ht="50.1" customHeight="1">
      <c r="B2" s="106"/>
      <c r="C2" s="107" t="s">
        <v>0</v>
      </c>
      <c r="D2" s="108"/>
    </row>
    <row r="3" spans="1:4" s="92" customFormat="1" ht="14.45" customHeight="1">
      <c r="B3" s="109"/>
      <c r="C3" s="110"/>
      <c r="D3" s="91"/>
    </row>
    <row r="4" spans="1:4" s="92" customFormat="1" ht="70.150000000000006" customHeight="1">
      <c r="B4" s="91"/>
      <c r="C4" s="90" t="s">
        <v>1</v>
      </c>
      <c r="D4" s="91"/>
    </row>
    <row r="5" spans="1:4" s="92" customFormat="1" ht="63.75" customHeight="1">
      <c r="B5" s="91"/>
      <c r="C5" s="93" t="s">
        <v>2</v>
      </c>
      <c r="D5" s="91"/>
    </row>
    <row r="6" spans="1:4" ht="16.5">
      <c r="B6" s="112"/>
      <c r="C6" s="94"/>
      <c r="D6" s="95"/>
    </row>
    <row r="7" spans="1:4">
      <c r="C7" s="96"/>
    </row>
    <row r="8" spans="1:4" ht="14.45" customHeight="1">
      <c r="C8" s="96"/>
    </row>
    <row r="9" spans="1:4" s="97" customFormat="1">
      <c r="A9" s="113"/>
      <c r="B9" s="113"/>
    </row>
    <row r="10" spans="1:4" ht="14.45" customHeight="1">
      <c r="C10" s="96"/>
    </row>
  </sheetData>
  <phoneticPr fontId="25" type="noConversion"/>
  <pageMargins left="0.5" right="0.5" top="0.5" bottom="0.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EA1F6-5F11-49F0-BC95-54A382E64E25}">
  <sheetPr>
    <pageSetUpPr fitToPage="1"/>
  </sheetPr>
  <dimension ref="A1:BK37"/>
  <sheetViews>
    <sheetView showGridLines="0" tabSelected="1" showRuler="0" zoomScale="90" zoomScaleNormal="90" zoomScalePageLayoutView="70" workbookViewId="0"/>
  </sheetViews>
  <sheetFormatPr defaultColWidth="8.875" defaultRowHeight="30" customHeight="1" outlineLevelRow="1"/>
  <cols>
    <col min="1" max="1" width="4.75" style="5" customWidth="1"/>
    <col min="2" max="2" width="25.75" customWidth="1"/>
    <col min="3" max="3" width="18.75" style="100" customWidth="1"/>
    <col min="4" max="4" width="13.75" style="100" customWidth="1"/>
    <col min="5" max="5" width="13.75" style="101" customWidth="1"/>
    <col min="6" max="6" width="13.75" style="100" customWidth="1"/>
    <col min="7" max="7" width="2.75" style="100" customWidth="1"/>
    <col min="8" max="63" width="3.625" style="100" customWidth="1"/>
    <col min="64" max="16384" width="8.875" style="100"/>
  </cols>
  <sheetData>
    <row r="1" spans="1:63" customFormat="1" ht="25.15" customHeight="1">
      <c r="A1" s="5"/>
      <c r="E1" s="2"/>
    </row>
    <row r="2" spans="1:63" customFormat="1" ht="50.1" customHeight="1">
      <c r="A2" s="60"/>
      <c r="B2" s="98" t="s">
        <v>3</v>
      </c>
      <c r="C2" s="45"/>
      <c r="D2" s="46"/>
      <c r="E2" s="46"/>
      <c r="F2" s="61"/>
      <c r="G2" s="39"/>
      <c r="H2" s="39"/>
      <c r="I2" s="65"/>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row>
    <row r="3" spans="1:63" customFormat="1" ht="30" customHeight="1">
      <c r="A3" s="6"/>
      <c r="B3" s="76" t="s">
        <v>4</v>
      </c>
      <c r="C3" s="72"/>
      <c r="D3" s="73"/>
      <c r="E3" s="73"/>
      <c r="F3" s="74"/>
      <c r="G3" s="1"/>
      <c r="H3" s="1"/>
      <c r="I3" s="75"/>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customFormat="1" ht="30" customHeight="1">
      <c r="A4" s="5"/>
      <c r="B4" s="76" t="s">
        <v>5</v>
      </c>
      <c r="E4" s="47"/>
      <c r="I4" s="18"/>
      <c r="J4" s="18"/>
      <c r="K4" s="18"/>
      <c r="L4" s="18"/>
      <c r="M4" s="18"/>
      <c r="N4" s="18"/>
    </row>
    <row r="5" spans="1:63" customFormat="1" ht="30" customHeight="1">
      <c r="A5" s="6"/>
      <c r="B5" s="62" t="s">
        <v>6</v>
      </c>
      <c r="C5" s="47">
        <f ca="1">IFERROR(IF(MIN(중요_시점34[[#This Row],[요일]])=0,TODAY(),MIN(중요_시점34[[#This Row],[요일]])),TODAY())</f>
        <v>44588</v>
      </c>
      <c r="E5" s="63"/>
      <c r="H5" s="30"/>
      <c r="I5" s="31"/>
      <c r="J5" s="31"/>
      <c r="K5" s="31"/>
      <c r="L5" s="31"/>
      <c r="M5" s="32"/>
      <c r="O5" s="104" t="s">
        <v>23</v>
      </c>
      <c r="P5" s="104"/>
      <c r="Q5" s="104"/>
      <c r="R5" s="104"/>
      <c r="S5" s="104"/>
      <c r="T5" s="104"/>
      <c r="U5" s="48">
        <v>13</v>
      </c>
      <c r="V5" s="71"/>
    </row>
    <row r="6" spans="1:63" customFormat="1" ht="30" customHeight="1">
      <c r="A6" s="6"/>
      <c r="B6" s="64" t="s">
        <v>7</v>
      </c>
      <c r="C6" s="48">
        <v>1</v>
      </c>
      <c r="D6" s="48">
        <f>중요_시점_표식</f>
        <v>1</v>
      </c>
      <c r="E6" s="2"/>
      <c r="H6" s="77" t="str">
        <f ca="1">TEXT(H7,"m월")</f>
        <v>2월</v>
      </c>
      <c r="I6" s="77"/>
      <c r="J6" s="77"/>
      <c r="K6" s="77"/>
      <c r="L6" s="25"/>
      <c r="M6" s="25"/>
      <c r="N6" s="23"/>
      <c r="O6" s="23" t="str">
        <f ca="1">IF(TEXT(O7,"m월")=H6,"",TEXT(O7,"m월"))</f>
        <v/>
      </c>
      <c r="P6" s="23"/>
      <c r="Q6" s="23"/>
      <c r="R6" s="23"/>
      <c r="S6" s="23"/>
      <c r="T6" s="23"/>
      <c r="U6" s="23"/>
      <c r="V6" s="23" t="str">
        <f ca="1">IF(OR(TEXT(V7,"m월")=O6,TEXT(V7,"m월")=H6),"",TEXT(V7,"m월"))</f>
        <v/>
      </c>
      <c r="W6" s="23"/>
      <c r="X6" s="23"/>
      <c r="Y6" s="23"/>
      <c r="Z6" s="23"/>
      <c r="AA6" s="23"/>
      <c r="AB6" s="23"/>
      <c r="AC6" s="23" t="str">
        <f ca="1">IF(OR(TEXT(AC7,"m월")=V6,TEXT(AC7,"m월")=O6,TEXT(AC7,"m월")=H6),"",TEXT(AC7,"m월"))</f>
        <v>3월</v>
      </c>
      <c r="AD6" s="23"/>
      <c r="AE6" s="23"/>
      <c r="AF6" s="23"/>
      <c r="AG6" s="23"/>
      <c r="AH6" s="23"/>
      <c r="AI6" s="23"/>
      <c r="AJ6" s="78" t="str">
        <f ca="1">IF(OR(TEXT(AJ7,"m월")=AC6,TEXT(AJ7,"m월")=V6,TEXT(AJ7,"m월")=O6,TEXT(AJ7,"m월")=H6),"",TEXT(AJ7,"m월"))</f>
        <v/>
      </c>
      <c r="AK6" s="78"/>
      <c r="AL6" s="78"/>
      <c r="AM6" s="78"/>
      <c r="AN6" s="78"/>
      <c r="AO6" s="23"/>
      <c r="AP6" s="23"/>
      <c r="AQ6" s="23" t="str">
        <f ca="1">IF(OR(TEXT(AQ7,"m월")=AJ6,TEXT(AQ7,"m월")=AC6,TEXT(AQ7,"m월")=V6,TEXT(AQ7,"m월")=O6),"",TEXT(AQ7,"m월"))</f>
        <v/>
      </c>
      <c r="AR6" s="23"/>
      <c r="AS6" s="23"/>
      <c r="AT6" s="23"/>
      <c r="AU6" s="23"/>
      <c r="AV6" s="23"/>
      <c r="AW6" s="23"/>
      <c r="AX6" s="23" t="str">
        <f ca="1">IF(OR(TEXT(AX7,"m월")=AQ6,TEXT(AX7,"m월")=AJ6,TEXT(AX7,"m월")=AC6,TEXT(AX7,"m월")=V6),"",TEXT(AX7,"m월"))</f>
        <v/>
      </c>
      <c r="AY6" s="23"/>
      <c r="AZ6" s="23"/>
      <c r="BA6" s="23"/>
      <c r="BB6" s="23"/>
      <c r="BC6" s="23"/>
      <c r="BD6" s="23"/>
      <c r="BE6" s="23" t="str">
        <f ca="1">IF(OR(TEXT(BE7,"m월")=AX6,TEXT(BE7,"m월")=AQ6,TEXT(BE7,"m월")=AJ6,TEXT(BE7,"m월")=AC6),"",TEXT(BE7,"m월"))</f>
        <v/>
      </c>
      <c r="BF6" s="23"/>
      <c r="BG6" s="23"/>
      <c r="BH6" s="23"/>
      <c r="BI6" s="23"/>
      <c r="BJ6" s="23"/>
      <c r="BK6" s="23"/>
    </row>
    <row r="7" spans="1:63" customFormat="1" ht="18" customHeight="1">
      <c r="A7" s="6"/>
      <c r="B7" s="19"/>
      <c r="E7" s="2"/>
      <c r="H7" s="86">
        <f ca="1">IFERROR(Project_Start+스크롤_증분,TODAY())</f>
        <v>44601</v>
      </c>
      <c r="I7" s="87">
        <f ca="1">H7+1</f>
        <v>44602</v>
      </c>
      <c r="J7" s="87">
        <f t="shared" ref="J7:AW7" ca="1" si="0">I7+1</f>
        <v>44603</v>
      </c>
      <c r="K7" s="87">
        <f ca="1">J7+1</f>
        <v>44604</v>
      </c>
      <c r="L7" s="87">
        <f t="shared" ca="1" si="0"/>
        <v>44605</v>
      </c>
      <c r="M7" s="87">
        <f t="shared" ca="1" si="0"/>
        <v>44606</v>
      </c>
      <c r="N7" s="87">
        <f t="shared" ca="1" si="0"/>
        <v>44607</v>
      </c>
      <c r="O7" s="87">
        <f ca="1">N7+1</f>
        <v>44608</v>
      </c>
      <c r="P7" s="87">
        <f ca="1">O7+1</f>
        <v>44609</v>
      </c>
      <c r="Q7" s="87">
        <f t="shared" ca="1" si="0"/>
        <v>44610</v>
      </c>
      <c r="R7" s="87">
        <f t="shared" ca="1" si="0"/>
        <v>44611</v>
      </c>
      <c r="S7" s="87">
        <f t="shared" ca="1" si="0"/>
        <v>44612</v>
      </c>
      <c r="T7" s="87">
        <f t="shared" ca="1" si="0"/>
        <v>44613</v>
      </c>
      <c r="U7" s="87">
        <f t="shared" ca="1" si="0"/>
        <v>44614</v>
      </c>
      <c r="V7" s="87">
        <f ca="1">U7+1</f>
        <v>44615</v>
      </c>
      <c r="W7" s="87">
        <f ca="1">V7+1</f>
        <v>44616</v>
      </c>
      <c r="X7" s="87">
        <f t="shared" ca="1" si="0"/>
        <v>44617</v>
      </c>
      <c r="Y7" s="87">
        <f t="shared" ca="1" si="0"/>
        <v>44618</v>
      </c>
      <c r="Z7" s="87">
        <f t="shared" ca="1" si="0"/>
        <v>44619</v>
      </c>
      <c r="AA7" s="87">
        <f t="shared" ca="1" si="0"/>
        <v>44620</v>
      </c>
      <c r="AB7" s="87">
        <f t="shared" ca="1" si="0"/>
        <v>44621</v>
      </c>
      <c r="AC7" s="87">
        <f ca="1">AB7+1</f>
        <v>44622</v>
      </c>
      <c r="AD7" s="87">
        <f ca="1">AC7+1</f>
        <v>44623</v>
      </c>
      <c r="AE7" s="87">
        <f t="shared" ca="1" si="0"/>
        <v>44624</v>
      </c>
      <c r="AF7" s="87">
        <f t="shared" ca="1" si="0"/>
        <v>44625</v>
      </c>
      <c r="AG7" s="87">
        <f t="shared" ca="1" si="0"/>
        <v>44626</v>
      </c>
      <c r="AH7" s="87">
        <f t="shared" ca="1" si="0"/>
        <v>44627</v>
      </c>
      <c r="AI7" s="87">
        <f t="shared" ca="1" si="0"/>
        <v>44628</v>
      </c>
      <c r="AJ7" s="87">
        <f ca="1">AI7+1</f>
        <v>44629</v>
      </c>
      <c r="AK7" s="87">
        <f ca="1">AJ7+1</f>
        <v>44630</v>
      </c>
      <c r="AL7" s="87">
        <f t="shared" ca="1" si="0"/>
        <v>44631</v>
      </c>
      <c r="AM7" s="87">
        <f t="shared" ca="1" si="0"/>
        <v>44632</v>
      </c>
      <c r="AN7" s="87">
        <f t="shared" ca="1" si="0"/>
        <v>44633</v>
      </c>
      <c r="AO7" s="87">
        <f t="shared" ca="1" si="0"/>
        <v>44634</v>
      </c>
      <c r="AP7" s="87">
        <f t="shared" ca="1" si="0"/>
        <v>44635</v>
      </c>
      <c r="AQ7" s="87">
        <f ca="1">AP7+1</f>
        <v>44636</v>
      </c>
      <c r="AR7" s="87">
        <f ca="1">AQ7+1</f>
        <v>44637</v>
      </c>
      <c r="AS7" s="87">
        <f t="shared" ca="1" si="0"/>
        <v>44638</v>
      </c>
      <c r="AT7" s="87">
        <f t="shared" ca="1" si="0"/>
        <v>44639</v>
      </c>
      <c r="AU7" s="87">
        <f t="shared" ca="1" si="0"/>
        <v>44640</v>
      </c>
      <c r="AV7" s="87">
        <f t="shared" ca="1" si="0"/>
        <v>44641</v>
      </c>
      <c r="AW7" s="87">
        <f t="shared" ca="1" si="0"/>
        <v>44642</v>
      </c>
      <c r="AX7" s="87">
        <f ca="1">AW7+1</f>
        <v>44643</v>
      </c>
      <c r="AY7" s="87">
        <f ca="1">AX7+1</f>
        <v>44644</v>
      </c>
      <c r="AZ7" s="87">
        <f t="shared" ref="AZ7:BD7" ca="1" si="1">AY7+1</f>
        <v>44645</v>
      </c>
      <c r="BA7" s="87">
        <f t="shared" ca="1" si="1"/>
        <v>44646</v>
      </c>
      <c r="BB7" s="87">
        <f t="shared" ca="1" si="1"/>
        <v>44647</v>
      </c>
      <c r="BC7" s="87">
        <f t="shared" ca="1" si="1"/>
        <v>44648</v>
      </c>
      <c r="BD7" s="87">
        <f t="shared" ca="1" si="1"/>
        <v>44649</v>
      </c>
      <c r="BE7" s="87">
        <f ca="1">BD7+1</f>
        <v>44650</v>
      </c>
      <c r="BF7" s="87">
        <f ca="1">BE7+1</f>
        <v>44651</v>
      </c>
      <c r="BG7" s="87">
        <f t="shared" ref="BG7:BK7" ca="1" si="2">BF7+1</f>
        <v>44652</v>
      </c>
      <c r="BH7" s="87">
        <f t="shared" ca="1" si="2"/>
        <v>44653</v>
      </c>
      <c r="BI7" s="87">
        <f t="shared" ca="1" si="2"/>
        <v>44654</v>
      </c>
      <c r="BJ7" s="87">
        <f t="shared" ca="1" si="2"/>
        <v>44655</v>
      </c>
      <c r="BK7" s="88">
        <f t="shared" ca="1" si="2"/>
        <v>44656</v>
      </c>
    </row>
    <row r="8" spans="1:63" customFormat="1" ht="30.95" customHeight="1">
      <c r="A8" s="6"/>
      <c r="B8" s="102" t="s">
        <v>8</v>
      </c>
      <c r="C8" s="103" t="s">
        <v>19</v>
      </c>
      <c r="D8" s="103" t="s">
        <v>20</v>
      </c>
      <c r="E8" s="103" t="s">
        <v>21</v>
      </c>
      <c r="F8" s="103" t="s">
        <v>22</v>
      </c>
      <c r="G8" s="89"/>
      <c r="H8" s="83" t="str">
        <f t="shared" ref="H8:AM8" ca="1" si="3">LEFT(TEXT(H7,"aaa"),1)</f>
        <v>수</v>
      </c>
      <c r="I8" s="84" t="str">
        <f t="shared" ca="1" si="3"/>
        <v>목</v>
      </c>
      <c r="J8" s="84" t="str">
        <f t="shared" ca="1" si="3"/>
        <v>금</v>
      </c>
      <c r="K8" s="84" t="str">
        <f t="shared" ca="1" si="3"/>
        <v>토</v>
      </c>
      <c r="L8" s="84" t="str">
        <f t="shared" ca="1" si="3"/>
        <v>일</v>
      </c>
      <c r="M8" s="84" t="str">
        <f t="shared" ca="1" si="3"/>
        <v>월</v>
      </c>
      <c r="N8" s="84" t="str">
        <f t="shared" ca="1" si="3"/>
        <v>화</v>
      </c>
      <c r="O8" s="84" t="str">
        <f t="shared" ca="1" si="3"/>
        <v>수</v>
      </c>
      <c r="P8" s="84" t="str">
        <f t="shared" ca="1" si="3"/>
        <v>목</v>
      </c>
      <c r="Q8" s="84" t="str">
        <f t="shared" ca="1" si="3"/>
        <v>금</v>
      </c>
      <c r="R8" s="84" t="str">
        <f t="shared" ca="1" si="3"/>
        <v>토</v>
      </c>
      <c r="S8" s="84" t="str">
        <f t="shared" ca="1" si="3"/>
        <v>일</v>
      </c>
      <c r="T8" s="84" t="str">
        <f t="shared" ca="1" si="3"/>
        <v>월</v>
      </c>
      <c r="U8" s="84" t="str">
        <f t="shared" ca="1" si="3"/>
        <v>화</v>
      </c>
      <c r="V8" s="84" t="str">
        <f t="shared" ca="1" si="3"/>
        <v>수</v>
      </c>
      <c r="W8" s="84" t="str">
        <f t="shared" ca="1" si="3"/>
        <v>목</v>
      </c>
      <c r="X8" s="84" t="str">
        <f t="shared" ca="1" si="3"/>
        <v>금</v>
      </c>
      <c r="Y8" s="84" t="str">
        <f t="shared" ca="1" si="3"/>
        <v>토</v>
      </c>
      <c r="Z8" s="84" t="str">
        <f t="shared" ca="1" si="3"/>
        <v>일</v>
      </c>
      <c r="AA8" s="84" t="str">
        <f t="shared" ca="1" si="3"/>
        <v>월</v>
      </c>
      <c r="AB8" s="84" t="str">
        <f t="shared" ca="1" si="3"/>
        <v>화</v>
      </c>
      <c r="AC8" s="84" t="str">
        <f t="shared" ca="1" si="3"/>
        <v>수</v>
      </c>
      <c r="AD8" s="84" t="str">
        <f t="shared" ca="1" si="3"/>
        <v>목</v>
      </c>
      <c r="AE8" s="84" t="str">
        <f t="shared" ca="1" si="3"/>
        <v>금</v>
      </c>
      <c r="AF8" s="84" t="str">
        <f t="shared" ca="1" si="3"/>
        <v>토</v>
      </c>
      <c r="AG8" s="84" t="str">
        <f t="shared" ca="1" si="3"/>
        <v>일</v>
      </c>
      <c r="AH8" s="84" t="str">
        <f t="shared" ca="1" si="3"/>
        <v>월</v>
      </c>
      <c r="AI8" s="84" t="str">
        <f t="shared" ca="1" si="3"/>
        <v>화</v>
      </c>
      <c r="AJ8" s="84" t="str">
        <f t="shared" ca="1" si="3"/>
        <v>수</v>
      </c>
      <c r="AK8" s="84" t="str">
        <f t="shared" ca="1" si="3"/>
        <v>목</v>
      </c>
      <c r="AL8" s="84" t="str">
        <f t="shared" ca="1" si="3"/>
        <v>금</v>
      </c>
      <c r="AM8" s="84" t="str">
        <f t="shared" ca="1" si="3"/>
        <v>토</v>
      </c>
      <c r="AN8" s="84" t="str">
        <f t="shared" ref="AN8:BS8" ca="1" si="4">LEFT(TEXT(AN7,"aaa"),1)</f>
        <v>일</v>
      </c>
      <c r="AO8" s="84" t="str">
        <f t="shared" ca="1" si="4"/>
        <v>월</v>
      </c>
      <c r="AP8" s="84" t="str">
        <f t="shared" ca="1" si="4"/>
        <v>화</v>
      </c>
      <c r="AQ8" s="84" t="str">
        <f t="shared" ca="1" si="4"/>
        <v>수</v>
      </c>
      <c r="AR8" s="84" t="str">
        <f t="shared" ca="1" si="4"/>
        <v>목</v>
      </c>
      <c r="AS8" s="84" t="str">
        <f t="shared" ca="1" si="4"/>
        <v>금</v>
      </c>
      <c r="AT8" s="84" t="str">
        <f t="shared" ca="1" si="4"/>
        <v>토</v>
      </c>
      <c r="AU8" s="84" t="str">
        <f t="shared" ca="1" si="4"/>
        <v>일</v>
      </c>
      <c r="AV8" s="84" t="str">
        <f t="shared" ca="1" si="4"/>
        <v>월</v>
      </c>
      <c r="AW8" s="84" t="str">
        <f t="shared" ca="1" si="4"/>
        <v>화</v>
      </c>
      <c r="AX8" s="84" t="str">
        <f t="shared" ca="1" si="4"/>
        <v>수</v>
      </c>
      <c r="AY8" s="84" t="str">
        <f t="shared" ca="1" si="4"/>
        <v>목</v>
      </c>
      <c r="AZ8" s="84" t="str">
        <f t="shared" ca="1" si="4"/>
        <v>금</v>
      </c>
      <c r="BA8" s="84" t="str">
        <f t="shared" ca="1" si="4"/>
        <v>토</v>
      </c>
      <c r="BB8" s="84" t="str">
        <f t="shared" ca="1" si="4"/>
        <v>일</v>
      </c>
      <c r="BC8" s="84" t="str">
        <f t="shared" ca="1" si="4"/>
        <v>월</v>
      </c>
      <c r="BD8" s="84" t="str">
        <f t="shared" ca="1" si="4"/>
        <v>화</v>
      </c>
      <c r="BE8" s="84" t="str">
        <f t="shared" ca="1" si="4"/>
        <v>수</v>
      </c>
      <c r="BF8" s="84" t="str">
        <f t="shared" ca="1" si="4"/>
        <v>목</v>
      </c>
      <c r="BG8" s="84" t="str">
        <f t="shared" ca="1" si="4"/>
        <v>금</v>
      </c>
      <c r="BH8" s="84" t="str">
        <f t="shared" ca="1" si="4"/>
        <v>토</v>
      </c>
      <c r="BI8" s="84" t="str">
        <f t="shared" ca="1" si="4"/>
        <v>일</v>
      </c>
      <c r="BJ8" s="84" t="str">
        <f t="shared" ca="1" si="4"/>
        <v>월</v>
      </c>
      <c r="BK8" s="85" t="str">
        <f t="shared" ca="1" si="4"/>
        <v>화</v>
      </c>
    </row>
    <row r="9" spans="1:63" customFormat="1" ht="30" hidden="1" customHeight="1">
      <c r="A9" s="5"/>
      <c r="B9" s="16"/>
      <c r="C9" s="9"/>
      <c r="D9" s="10"/>
      <c r="E9" s="11"/>
      <c r="F9" s="12"/>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row>
    <row r="10" spans="1:63" s="1" customFormat="1" ht="30" customHeight="1">
      <c r="A10" s="6"/>
      <c r="B10" s="40" t="s">
        <v>9</v>
      </c>
      <c r="C10" s="13"/>
      <c r="D10" s="80"/>
      <c r="E10" s="11"/>
      <c r="F10" s="12"/>
      <c r="G10" s="27"/>
      <c r="H10" s="26" t="str">
        <f>IFERROR(IF(LEN(중요_시점34[[#This Row],[요일]])=0,"",IF(AND(H$7=$E10,$F10=1),중요_시점_표식,"")),"")</f>
        <v/>
      </c>
      <c r="I10" s="26" t="str">
        <f>IFERROR(IF(LEN(_xlfn.SINGLE(중요_시점34[[#This Row],[요일]]))=0,"",IF(AND(I$7=$E10,$F10=1),중요_시점_표식,"")),"")</f>
        <v/>
      </c>
      <c r="J10" s="26" t="str">
        <f>IFERROR(IF(LEN(_xlfn.SINGLE(중요_시점34[[#This Row],[요일]]))=0,"",IF(AND(J$7=$E10,$F10=1),중요_시점_표식,"")),"")</f>
        <v/>
      </c>
      <c r="K10" s="26" t="str">
        <f>IFERROR(IF(LEN(_xlfn.SINGLE(중요_시점34[[#This Row],[요일]]))=0,"",IF(AND(K$7=$E10,$F10=1),중요_시점_표식,"")),"")</f>
        <v/>
      </c>
      <c r="L10" s="26" t="str">
        <f>IFERROR(IF(LEN(_xlfn.SINGLE(중요_시점34[[#This Row],[요일]]))=0,"",IF(AND(L$7=$E10,$F10=1),중요_시점_표식,"")),"")</f>
        <v/>
      </c>
      <c r="M10" s="26" t="str">
        <f>IFERROR(IF(LEN(_xlfn.SINGLE(중요_시점34[[#This Row],[요일]]))=0,"",IF(AND(M$7=$E10,$F10=1),중요_시점_표식,"")),"")</f>
        <v/>
      </c>
      <c r="N10" s="26" t="str">
        <f>IFERROR(IF(LEN(_xlfn.SINGLE(중요_시점34[[#This Row],[요일]]))=0,"",IF(AND(N$7=$E10,$F10=1),중요_시점_표식,"")),"")</f>
        <v/>
      </c>
      <c r="O10" s="26" t="str">
        <f>IFERROR(IF(LEN(_xlfn.SINGLE(중요_시점34[[#This Row],[요일]]))=0,"",IF(AND(O$7=$E10,$F10=1),중요_시점_표식,"")),"")</f>
        <v/>
      </c>
      <c r="P10" s="26" t="str">
        <f>IFERROR(IF(LEN(_xlfn.SINGLE(중요_시점34[[#This Row],[요일]]))=0,"",IF(AND(P$7=$E10,$F10=1),중요_시점_표식,"")),"")</f>
        <v/>
      </c>
      <c r="Q10" s="26" t="str">
        <f>IFERROR(IF(LEN(_xlfn.SINGLE(중요_시점34[[#This Row],[요일]]))=0,"",IF(AND(Q$7=$E10,$F10=1),중요_시점_표식,"")),"")</f>
        <v/>
      </c>
      <c r="R10" s="26" t="str">
        <f>IFERROR(IF(LEN(_xlfn.SINGLE(중요_시점34[[#This Row],[요일]]))=0,"",IF(AND(R$7=$E10,$F10=1),중요_시점_표식,"")),"")</f>
        <v/>
      </c>
      <c r="S10" s="26" t="str">
        <f>IFERROR(IF(LEN(_xlfn.SINGLE(중요_시점34[[#This Row],[요일]]))=0,"",IF(AND(S$7=$E10,$F10=1),중요_시점_표식,"")),"")</f>
        <v/>
      </c>
      <c r="T10" s="26" t="str">
        <f>IFERROR(IF(LEN(_xlfn.SINGLE(중요_시점34[[#This Row],[요일]]))=0,"",IF(AND(T$7=$E10,$F10=1),중요_시점_표식,"")),"")</f>
        <v/>
      </c>
      <c r="U10" s="26" t="str">
        <f>IFERROR(IF(LEN(_xlfn.SINGLE(중요_시점34[[#This Row],[요일]]))=0,"",IF(AND(U$7=$E10,$F10=1),중요_시점_표식,"")),"")</f>
        <v/>
      </c>
      <c r="V10" s="26" t="str">
        <f>IFERROR(IF(LEN(_xlfn.SINGLE(중요_시점34[[#This Row],[요일]]))=0,"",IF(AND(V$7=$E10,$F10=1),중요_시점_표식,"")),"")</f>
        <v/>
      </c>
      <c r="W10" s="26" t="str">
        <f>IFERROR(IF(LEN(_xlfn.SINGLE(중요_시점34[[#This Row],[요일]]))=0,"",IF(AND(W$7=$E10,$F10=1),중요_시점_표식,"")),"")</f>
        <v/>
      </c>
      <c r="X10" s="26" t="str">
        <f>IFERROR(IF(LEN(_xlfn.SINGLE(중요_시점34[[#This Row],[요일]]))=0,"",IF(AND(X$7=$E10,$F10=1),중요_시점_표식,"")),"")</f>
        <v/>
      </c>
      <c r="Y10" s="26" t="str">
        <f>IFERROR(IF(LEN(_xlfn.SINGLE(중요_시점34[[#This Row],[요일]]))=0,"",IF(AND(Y$7=$E10,$F10=1),중요_시점_표식,"")),"")</f>
        <v/>
      </c>
      <c r="Z10" s="26" t="str">
        <f>IFERROR(IF(LEN(_xlfn.SINGLE(중요_시점34[[#This Row],[요일]]))=0,"",IF(AND(Z$7=$E10,$F10=1),중요_시점_표식,"")),"")</f>
        <v/>
      </c>
      <c r="AA10" s="26" t="str">
        <f>IFERROR(IF(LEN(_xlfn.SINGLE(중요_시점34[[#This Row],[요일]]))=0,"",IF(AND(AA$7=$E10,$F10=1),중요_시점_표식,"")),"")</f>
        <v/>
      </c>
      <c r="AB10" s="26" t="str">
        <f>IFERROR(IF(LEN(_xlfn.SINGLE(중요_시점34[[#This Row],[요일]]))=0,"",IF(AND(AB$7=$E10,$F10=1),중요_시점_표식,"")),"")</f>
        <v/>
      </c>
      <c r="AC10" s="26" t="str">
        <f>IFERROR(IF(LEN(_xlfn.SINGLE(중요_시점34[[#This Row],[요일]]))=0,"",IF(AND(AC$7=$E10,$F10=1),중요_시점_표식,"")),"")</f>
        <v/>
      </c>
      <c r="AD10" s="26" t="str">
        <f>IFERROR(IF(LEN(_xlfn.SINGLE(중요_시점34[[#This Row],[요일]]))=0,"",IF(AND(AD$7=$E10,$F10=1),중요_시점_표식,"")),"")</f>
        <v/>
      </c>
      <c r="AE10" s="26" t="str">
        <f>IFERROR(IF(LEN(_xlfn.SINGLE(중요_시점34[[#This Row],[요일]]))=0,"",IF(AND(AE$7=$E10,$F10=1),중요_시점_표식,"")),"")</f>
        <v/>
      </c>
      <c r="AF10" s="26" t="str">
        <f>IFERROR(IF(LEN(_xlfn.SINGLE(중요_시점34[[#This Row],[요일]]))=0,"",IF(AND(AF$7=$E10,$F10=1),중요_시점_표식,"")),"")</f>
        <v/>
      </c>
      <c r="AG10" s="26" t="str">
        <f>IFERROR(IF(LEN(_xlfn.SINGLE(중요_시점34[[#This Row],[요일]]))=0,"",IF(AND(AG$7=$E10,$F10=1),중요_시점_표식,"")),"")</f>
        <v/>
      </c>
      <c r="AH10" s="26" t="str">
        <f>IFERROR(IF(LEN(_xlfn.SINGLE(중요_시점34[[#This Row],[요일]]))=0,"",IF(AND(AH$7=$E10,$F10=1),중요_시점_표식,"")),"")</f>
        <v/>
      </c>
      <c r="AI10" s="26" t="str">
        <f>IFERROR(IF(LEN(_xlfn.SINGLE(중요_시점34[[#This Row],[요일]]))=0,"",IF(AND(AI$7=$E10,$F10=1),중요_시점_표식,"")),"")</f>
        <v/>
      </c>
      <c r="AJ10" s="26" t="str">
        <f>IFERROR(IF(LEN(_xlfn.SINGLE(중요_시점34[[#This Row],[요일]]))=0,"",IF(AND(AJ$7=$E10,$F10=1),중요_시점_표식,"")),"")</f>
        <v/>
      </c>
      <c r="AK10" s="26" t="str">
        <f>IFERROR(IF(LEN(_xlfn.SINGLE(중요_시점34[[#This Row],[요일]]))=0,"",IF(AND(AK$7=$E10,$F10=1),중요_시점_표식,"")),"")</f>
        <v/>
      </c>
      <c r="AL10" s="26" t="str">
        <f>IFERROR(IF(LEN(_xlfn.SINGLE(중요_시점34[[#This Row],[요일]]))=0,"",IF(AND(AL$7=$E10,$F10=1),중요_시점_표식,"")),"")</f>
        <v/>
      </c>
      <c r="AM10" s="26" t="str">
        <f>IFERROR(IF(LEN(_xlfn.SINGLE(중요_시점34[[#This Row],[요일]]))=0,"",IF(AND(AM$7=$E10,$F10=1),중요_시점_표식,"")),"")</f>
        <v/>
      </c>
      <c r="AN10" s="26" t="str">
        <f>IFERROR(IF(LEN(_xlfn.SINGLE(중요_시점34[[#This Row],[요일]]))=0,"",IF(AND(AN$7=$E10,$F10=1),중요_시점_표식,"")),"")</f>
        <v/>
      </c>
      <c r="AO10" s="26" t="str">
        <f>IFERROR(IF(LEN(_xlfn.SINGLE(중요_시점34[[#This Row],[요일]]))=0,"",IF(AND(AO$7=$E10,$F10=1),중요_시점_표식,"")),"")</f>
        <v/>
      </c>
      <c r="AP10" s="26" t="str">
        <f>IFERROR(IF(LEN(_xlfn.SINGLE(중요_시점34[[#This Row],[요일]]))=0,"",IF(AND(AP$7=$E10,$F10=1),중요_시점_표식,"")),"")</f>
        <v/>
      </c>
      <c r="AQ10" s="26" t="str">
        <f>IFERROR(IF(LEN(_xlfn.SINGLE(중요_시점34[[#This Row],[요일]]))=0,"",IF(AND(AQ$7=$E10,$F10=1),중요_시점_표식,"")),"")</f>
        <v/>
      </c>
      <c r="AR10" s="26" t="str">
        <f>IFERROR(IF(LEN(_xlfn.SINGLE(중요_시점34[[#This Row],[요일]]))=0,"",IF(AND(AR$7=$E10,$F10=1),중요_시점_표식,"")),"")</f>
        <v/>
      </c>
      <c r="AS10" s="26" t="str">
        <f>IFERROR(IF(LEN(_xlfn.SINGLE(중요_시점34[[#This Row],[요일]]))=0,"",IF(AND(AS$7=$E10,$F10=1),중요_시점_표식,"")),"")</f>
        <v/>
      </c>
      <c r="AT10" s="26" t="str">
        <f>IFERROR(IF(LEN(_xlfn.SINGLE(중요_시점34[[#This Row],[요일]]))=0,"",IF(AND(AT$7=$E10,$F10=1),중요_시점_표식,"")),"")</f>
        <v/>
      </c>
      <c r="AU10" s="26" t="str">
        <f>IFERROR(IF(LEN(_xlfn.SINGLE(중요_시점34[[#This Row],[요일]]))=0,"",IF(AND(AU$7=$E10,$F10=1),중요_시점_표식,"")),"")</f>
        <v/>
      </c>
      <c r="AV10" s="26" t="str">
        <f>IFERROR(IF(LEN(_xlfn.SINGLE(중요_시점34[[#This Row],[요일]]))=0,"",IF(AND(AV$7=$E10,$F10=1),중요_시점_표식,"")),"")</f>
        <v/>
      </c>
      <c r="AW10" s="26" t="str">
        <f>IFERROR(IF(LEN(_xlfn.SINGLE(중요_시점34[[#This Row],[요일]]))=0,"",IF(AND(AW$7=$E10,$F10=1),중요_시점_표식,"")),"")</f>
        <v/>
      </c>
      <c r="AX10" s="26" t="str">
        <f>IFERROR(IF(LEN(_xlfn.SINGLE(중요_시점34[[#This Row],[요일]]))=0,"",IF(AND(AX$7=$E10,$F10=1),중요_시점_표식,"")),"")</f>
        <v/>
      </c>
      <c r="AY10" s="26" t="str">
        <f>IFERROR(IF(LEN(_xlfn.SINGLE(중요_시점34[[#This Row],[요일]]))=0,"",IF(AND(AY$7=$E10,$F10=1),중요_시점_표식,"")),"")</f>
        <v/>
      </c>
      <c r="AZ10" s="26" t="str">
        <f>IFERROR(IF(LEN(_xlfn.SINGLE(중요_시점34[[#This Row],[요일]]))=0,"",IF(AND(AZ$7=$E10,$F10=1),중요_시점_표식,"")),"")</f>
        <v/>
      </c>
      <c r="BA10" s="26" t="str">
        <f>IFERROR(IF(LEN(_xlfn.SINGLE(중요_시점34[[#This Row],[요일]]))=0,"",IF(AND(BA$7=$E10,$F10=1),중요_시점_표식,"")),"")</f>
        <v/>
      </c>
      <c r="BB10" s="26" t="str">
        <f>IFERROR(IF(LEN(_xlfn.SINGLE(중요_시점34[[#This Row],[요일]]))=0,"",IF(AND(BB$7=$E10,$F10=1),중요_시점_표식,"")),"")</f>
        <v/>
      </c>
      <c r="BC10" s="26" t="str">
        <f>IFERROR(IF(LEN(_xlfn.SINGLE(중요_시점34[[#This Row],[요일]]))=0,"",IF(AND(BC$7=$E10,$F10=1),중요_시점_표식,"")),"")</f>
        <v/>
      </c>
      <c r="BD10" s="26" t="str">
        <f>IFERROR(IF(LEN(_xlfn.SINGLE(중요_시점34[[#This Row],[요일]]))=0,"",IF(AND(BD$7=$E10,$F10=1),중요_시점_표식,"")),"")</f>
        <v/>
      </c>
      <c r="BE10" s="26" t="str">
        <f>IFERROR(IF(LEN(_xlfn.SINGLE(중요_시점34[[#This Row],[요일]]))=0,"",IF(AND(BE$7=$E10,$F10=1),중요_시점_표식,"")),"")</f>
        <v/>
      </c>
      <c r="BF10" s="26" t="str">
        <f>IFERROR(IF(LEN(_xlfn.SINGLE(중요_시점34[[#This Row],[요일]]))=0,"",IF(AND(BF$7=$E10,$F10=1),중요_시점_표식,"")),"")</f>
        <v/>
      </c>
      <c r="BG10" s="26" t="str">
        <f>IFERROR(IF(LEN(_xlfn.SINGLE(중요_시점34[[#This Row],[요일]]))=0,"",IF(AND(BG$7=$E10,$F10=1),중요_시점_표식,"")),"")</f>
        <v/>
      </c>
      <c r="BH10" s="26" t="str">
        <f>IFERROR(IF(LEN(_xlfn.SINGLE(중요_시점34[[#This Row],[요일]]))=0,"",IF(AND(BH$7=$E10,$F10=1),중요_시점_표식,"")),"")</f>
        <v/>
      </c>
      <c r="BI10" s="26" t="str">
        <f>IFERROR(IF(LEN(_xlfn.SINGLE(중요_시점34[[#This Row],[요일]]))=0,"",IF(AND(BI$7=$E10,$F10=1),중요_시점_표식,"")),"")</f>
        <v/>
      </c>
      <c r="BJ10" s="26" t="str">
        <f>IFERROR(IF(LEN(_xlfn.SINGLE(중요_시점34[[#This Row],[요일]]))=0,"",IF(AND(BJ$7=$E10,$F10=1),중요_시점_표식,"")),"")</f>
        <v/>
      </c>
      <c r="BK10" s="26" t="str">
        <f>IFERROR(IF(LEN(_xlfn.SINGLE(중요_시점34[[#This Row],[요일]]))=0,"",IF(AND(BK$7=$E10,$F10=1),중요_시점_표식,"")),"")</f>
        <v/>
      </c>
    </row>
    <row r="11" spans="1:63" s="1" customFormat="1" ht="30" customHeight="1" outlineLevel="1">
      <c r="A11" s="6"/>
      <c r="B11" s="49" t="s">
        <v>10</v>
      </c>
      <c r="C11" s="13"/>
      <c r="D11" s="82">
        <v>0.25</v>
      </c>
      <c r="E11" s="42">
        <f ca="1">TODAY()</f>
        <v>44588</v>
      </c>
      <c r="F11" s="12">
        <v>3</v>
      </c>
      <c r="G11" s="27"/>
      <c r="H11" s="26" t="str">
        <f ca="1">IFERROR(IF(LEN(_xlfn.SINGLE(중요_시점34[[#This Row],[요일]]))=0,"",IF(AND(H$7=$E11,$F11=1),중요_시점_표식,"")),"")</f>
        <v/>
      </c>
      <c r="I11" s="26" t="str">
        <f ca="1">IFERROR(IF(LEN(_xlfn.SINGLE(중요_시점34[[#This Row],[요일]]))=0,"",IF(AND(I$7=$E11,$F11=1),중요_시점_표식,"")),"")</f>
        <v/>
      </c>
      <c r="J11" s="26" t="str">
        <f ca="1">IFERROR(IF(LEN(_xlfn.SINGLE(중요_시점34[[#This Row],[요일]]))=0,"",IF(AND(J$7=$E11,$F11=1),중요_시점_표식,"")),"")</f>
        <v/>
      </c>
      <c r="K11" s="26" t="str">
        <f ca="1">IFERROR(IF(LEN(_xlfn.SINGLE(중요_시점34[[#This Row],[요일]]))=0,"",IF(AND(K$7=$E11,$F11=1),중요_시점_표식,"")),"")</f>
        <v/>
      </c>
      <c r="L11" s="26" t="str">
        <f ca="1">IFERROR(IF(LEN(_xlfn.SINGLE(중요_시점34[[#This Row],[요일]]))=0,"",IF(AND(L$7=$E11,$F11=1),중요_시점_표식,"")),"")</f>
        <v/>
      </c>
      <c r="M11" s="26" t="str">
        <f ca="1">IFERROR(IF(LEN(_xlfn.SINGLE(중요_시점34[[#This Row],[요일]]))=0,"",IF(AND(M$7=$E11,$F11=1),중요_시점_표식,"")),"")</f>
        <v/>
      </c>
      <c r="N11" s="26" t="str">
        <f ca="1">IFERROR(IF(LEN(_xlfn.SINGLE(중요_시점34[[#This Row],[요일]]))=0,"",IF(AND(N$7=$E11,$F11=1),중요_시점_표식,"")),"")</f>
        <v/>
      </c>
      <c r="O11" s="26" t="str">
        <f ca="1">IFERROR(IF(LEN(_xlfn.SINGLE(중요_시점34[[#This Row],[요일]]))=0,"",IF(AND(O$7=$E11,$F11=1),중요_시점_표식,"")),"")</f>
        <v/>
      </c>
      <c r="P11" s="26" t="str">
        <f ca="1">IFERROR(IF(LEN(_xlfn.SINGLE(중요_시점34[[#This Row],[요일]]))=0,"",IF(AND(P$7=$E11,$F11=1),중요_시점_표식,"")),"")</f>
        <v/>
      </c>
      <c r="Q11" s="26" t="str">
        <f ca="1">IFERROR(IF(LEN(_xlfn.SINGLE(중요_시점34[[#This Row],[요일]]))=0,"",IF(AND(Q$7=$E11,$F11=1),중요_시점_표식,"")),"")</f>
        <v/>
      </c>
      <c r="R11" s="26" t="str">
        <f ca="1">IFERROR(IF(LEN(_xlfn.SINGLE(중요_시점34[[#This Row],[요일]]))=0,"",IF(AND(R$7=$E11,$F11=1),중요_시점_표식,"")),"")</f>
        <v/>
      </c>
      <c r="S11" s="26" t="str">
        <f ca="1">IFERROR(IF(LEN(_xlfn.SINGLE(중요_시점34[[#This Row],[요일]]))=0,"",IF(AND(S$7=$E11,$F11=1),중요_시점_표식,"")),"")</f>
        <v/>
      </c>
      <c r="T11" s="26" t="str">
        <f ca="1">IFERROR(IF(LEN(_xlfn.SINGLE(중요_시점34[[#This Row],[요일]]))=0,"",IF(AND(T$7=$E11,$F11=1),중요_시점_표식,"")),"")</f>
        <v/>
      </c>
      <c r="U11" s="26" t="str">
        <f ca="1">IFERROR(IF(LEN(_xlfn.SINGLE(중요_시점34[[#This Row],[요일]]))=0,"",IF(AND(U$7=$E11,$F11=1),중요_시점_표식,"")),"")</f>
        <v/>
      </c>
      <c r="V11" s="26" t="str">
        <f ca="1">IFERROR(IF(LEN(_xlfn.SINGLE(중요_시점34[[#This Row],[요일]]))=0,"",IF(AND(V$7=$E11,$F11=1),중요_시점_표식,"")),"")</f>
        <v/>
      </c>
      <c r="W11" s="26" t="str">
        <f ca="1">IFERROR(IF(LEN(_xlfn.SINGLE(중요_시점34[[#This Row],[요일]]))=0,"",IF(AND(W$7=$E11,$F11=1),중요_시점_표식,"")),"")</f>
        <v/>
      </c>
      <c r="X11" s="26" t="str">
        <f ca="1">IFERROR(IF(LEN(_xlfn.SINGLE(중요_시점34[[#This Row],[요일]]))=0,"",IF(AND(X$7=$E11,$F11=1),중요_시점_표식,"")),"")</f>
        <v/>
      </c>
      <c r="Y11" s="26" t="str">
        <f ca="1">IFERROR(IF(LEN(_xlfn.SINGLE(중요_시점34[[#This Row],[요일]]))=0,"",IF(AND(Y$7=$E11,$F11=1),중요_시점_표식,"")),"")</f>
        <v/>
      </c>
      <c r="Z11" s="26" t="str">
        <f ca="1">IFERROR(IF(LEN(_xlfn.SINGLE(중요_시점34[[#This Row],[요일]]))=0,"",IF(AND(Z$7=$E11,$F11=1),중요_시점_표식,"")),"")</f>
        <v/>
      </c>
      <c r="AA11" s="26" t="str">
        <f ca="1">IFERROR(IF(LEN(_xlfn.SINGLE(중요_시점34[[#This Row],[요일]]))=0,"",IF(AND(AA$7=$E11,$F11=1),중요_시점_표식,"")),"")</f>
        <v/>
      </c>
      <c r="AB11" s="26" t="str">
        <f ca="1">IFERROR(IF(LEN(_xlfn.SINGLE(중요_시점34[[#This Row],[요일]]))=0,"",IF(AND(AB$7=$E11,$F11=1),중요_시점_표식,"")),"")</f>
        <v/>
      </c>
      <c r="AC11" s="26" t="str">
        <f ca="1">IFERROR(IF(LEN(_xlfn.SINGLE(중요_시점34[[#This Row],[요일]]))=0,"",IF(AND(AC$7=$E11,$F11=1),중요_시점_표식,"")),"")</f>
        <v/>
      </c>
      <c r="AD11" s="26" t="str">
        <f ca="1">IFERROR(IF(LEN(_xlfn.SINGLE(중요_시점34[[#This Row],[요일]]))=0,"",IF(AND(AD$7=$E11,$F11=1),중요_시점_표식,"")),"")</f>
        <v/>
      </c>
      <c r="AE11" s="26" t="str">
        <f ca="1">IFERROR(IF(LEN(_xlfn.SINGLE(중요_시점34[[#This Row],[요일]]))=0,"",IF(AND(AE$7=$E11,$F11=1),중요_시점_표식,"")),"")</f>
        <v/>
      </c>
      <c r="AF11" s="26" t="str">
        <f ca="1">IFERROR(IF(LEN(_xlfn.SINGLE(중요_시점34[[#This Row],[요일]]))=0,"",IF(AND(AF$7=$E11,$F11=1),중요_시점_표식,"")),"")</f>
        <v/>
      </c>
      <c r="AG11" s="26" t="str">
        <f ca="1">IFERROR(IF(LEN(_xlfn.SINGLE(중요_시점34[[#This Row],[요일]]))=0,"",IF(AND(AG$7=$E11,$F11=1),중요_시점_표식,"")),"")</f>
        <v/>
      </c>
      <c r="AH11" s="26" t="str">
        <f ca="1">IFERROR(IF(LEN(_xlfn.SINGLE(중요_시점34[[#This Row],[요일]]))=0,"",IF(AND(AH$7=$E11,$F11=1),중요_시점_표식,"")),"")</f>
        <v/>
      </c>
      <c r="AI11" s="26" t="str">
        <f ca="1">IFERROR(IF(LEN(_xlfn.SINGLE(중요_시점34[[#This Row],[요일]]))=0,"",IF(AND(AI$7=$E11,$F11=1),중요_시점_표식,"")),"")</f>
        <v/>
      </c>
      <c r="AJ11" s="26" t="str">
        <f ca="1">IFERROR(IF(LEN(_xlfn.SINGLE(중요_시점34[[#This Row],[요일]]))=0,"",IF(AND(AJ$7=$E11,$F11=1),중요_시점_표식,"")),"")</f>
        <v/>
      </c>
      <c r="AK11" s="26" t="str">
        <f ca="1">IFERROR(IF(LEN(_xlfn.SINGLE(중요_시점34[[#This Row],[요일]]))=0,"",IF(AND(AK$7=$E11,$F11=1),중요_시점_표식,"")),"")</f>
        <v/>
      </c>
      <c r="AL11" s="26" t="str">
        <f ca="1">IFERROR(IF(LEN(_xlfn.SINGLE(중요_시점34[[#This Row],[요일]]))=0,"",IF(AND(AL$7=$E11,$F11=1),중요_시점_표식,"")),"")</f>
        <v/>
      </c>
      <c r="AM11" s="26" t="str">
        <f ca="1">IFERROR(IF(LEN(_xlfn.SINGLE(중요_시점34[[#This Row],[요일]]))=0,"",IF(AND(AM$7=$E11,$F11=1),중요_시점_표식,"")),"")</f>
        <v/>
      </c>
      <c r="AN11" s="26" t="str">
        <f ca="1">IFERROR(IF(LEN(_xlfn.SINGLE(중요_시점34[[#This Row],[요일]]))=0,"",IF(AND(AN$7=$E11,$F11=1),중요_시점_표식,"")),"")</f>
        <v/>
      </c>
      <c r="AO11" s="26" t="str">
        <f ca="1">IFERROR(IF(LEN(_xlfn.SINGLE(중요_시점34[[#This Row],[요일]]))=0,"",IF(AND(AO$7=$E11,$F11=1),중요_시점_표식,"")),"")</f>
        <v/>
      </c>
      <c r="AP11" s="26" t="str">
        <f ca="1">IFERROR(IF(LEN(_xlfn.SINGLE(중요_시점34[[#This Row],[요일]]))=0,"",IF(AND(AP$7=$E11,$F11=1),중요_시점_표식,"")),"")</f>
        <v/>
      </c>
      <c r="AQ11" s="26" t="str">
        <f ca="1">IFERROR(IF(LEN(_xlfn.SINGLE(중요_시점34[[#This Row],[요일]]))=0,"",IF(AND(AQ$7=$E11,$F11=1),중요_시점_표식,"")),"")</f>
        <v/>
      </c>
      <c r="AR11" s="26" t="str">
        <f ca="1">IFERROR(IF(LEN(_xlfn.SINGLE(중요_시점34[[#This Row],[요일]]))=0,"",IF(AND(AR$7=$E11,$F11=1),중요_시점_표식,"")),"")</f>
        <v/>
      </c>
      <c r="AS11" s="26" t="str">
        <f ca="1">IFERROR(IF(LEN(_xlfn.SINGLE(중요_시점34[[#This Row],[요일]]))=0,"",IF(AND(AS$7=$E11,$F11=1),중요_시점_표식,"")),"")</f>
        <v/>
      </c>
      <c r="AT11" s="26" t="str">
        <f ca="1">IFERROR(IF(LEN(_xlfn.SINGLE(중요_시점34[[#This Row],[요일]]))=0,"",IF(AND(AT$7=$E11,$F11=1),중요_시점_표식,"")),"")</f>
        <v/>
      </c>
      <c r="AU11" s="26" t="str">
        <f ca="1">IFERROR(IF(LEN(_xlfn.SINGLE(중요_시점34[[#This Row],[요일]]))=0,"",IF(AND(AU$7=$E11,$F11=1),중요_시점_표식,"")),"")</f>
        <v/>
      </c>
      <c r="AV11" s="26" t="str">
        <f ca="1">IFERROR(IF(LEN(_xlfn.SINGLE(중요_시점34[[#This Row],[요일]]))=0,"",IF(AND(AV$7=$E11,$F11=1),중요_시점_표식,"")),"")</f>
        <v/>
      </c>
      <c r="AW11" s="26" t="str">
        <f ca="1">IFERROR(IF(LEN(_xlfn.SINGLE(중요_시점34[[#This Row],[요일]]))=0,"",IF(AND(AW$7=$E11,$F11=1),중요_시점_표식,"")),"")</f>
        <v/>
      </c>
      <c r="AX11" s="26" t="str">
        <f ca="1">IFERROR(IF(LEN(_xlfn.SINGLE(중요_시점34[[#This Row],[요일]]))=0,"",IF(AND(AX$7=$E11,$F11=1),중요_시점_표식,"")),"")</f>
        <v/>
      </c>
      <c r="AY11" s="26" t="str">
        <f ca="1">IFERROR(IF(LEN(_xlfn.SINGLE(중요_시점34[[#This Row],[요일]]))=0,"",IF(AND(AY$7=$E11,$F11=1),중요_시점_표식,"")),"")</f>
        <v/>
      </c>
      <c r="AZ11" s="26" t="str">
        <f ca="1">IFERROR(IF(LEN(_xlfn.SINGLE(중요_시점34[[#This Row],[요일]]))=0,"",IF(AND(AZ$7=$E11,$F11=1),중요_시점_표식,"")),"")</f>
        <v/>
      </c>
      <c r="BA11" s="26" t="str">
        <f ca="1">IFERROR(IF(LEN(_xlfn.SINGLE(중요_시점34[[#This Row],[요일]]))=0,"",IF(AND(BA$7=$E11,$F11=1),중요_시점_표식,"")),"")</f>
        <v/>
      </c>
      <c r="BB11" s="26" t="str">
        <f ca="1">IFERROR(IF(LEN(_xlfn.SINGLE(중요_시점34[[#This Row],[요일]]))=0,"",IF(AND(BB$7=$E11,$F11=1),중요_시점_표식,"")),"")</f>
        <v/>
      </c>
      <c r="BC11" s="26" t="str">
        <f ca="1">IFERROR(IF(LEN(_xlfn.SINGLE(중요_시점34[[#This Row],[요일]]))=0,"",IF(AND(BC$7=$E11,$F11=1),중요_시점_표식,"")),"")</f>
        <v/>
      </c>
      <c r="BD11" s="26" t="str">
        <f ca="1">IFERROR(IF(LEN(_xlfn.SINGLE(중요_시점34[[#This Row],[요일]]))=0,"",IF(AND(BD$7=$E11,$F11=1),중요_시점_표식,"")),"")</f>
        <v/>
      </c>
      <c r="BE11" s="26" t="str">
        <f ca="1">IFERROR(IF(LEN(_xlfn.SINGLE(중요_시점34[[#This Row],[요일]]))=0,"",IF(AND(BE$7=$E11,$F11=1),중요_시점_표식,"")),"")</f>
        <v/>
      </c>
      <c r="BF11" s="26" t="str">
        <f ca="1">IFERROR(IF(LEN(_xlfn.SINGLE(중요_시점34[[#This Row],[요일]]))=0,"",IF(AND(BF$7=$E11,$F11=1),중요_시점_표식,"")),"")</f>
        <v/>
      </c>
      <c r="BG11" s="26" t="str">
        <f ca="1">IFERROR(IF(LEN(_xlfn.SINGLE(중요_시점34[[#This Row],[요일]]))=0,"",IF(AND(BG$7=$E11,$F11=1),중요_시점_표식,"")),"")</f>
        <v/>
      </c>
      <c r="BH11" s="26" t="str">
        <f ca="1">IFERROR(IF(LEN(_xlfn.SINGLE(중요_시점34[[#This Row],[요일]]))=0,"",IF(AND(BH$7=$E11,$F11=1),중요_시점_표식,"")),"")</f>
        <v/>
      </c>
      <c r="BI11" s="26" t="str">
        <f ca="1">IFERROR(IF(LEN(_xlfn.SINGLE(중요_시점34[[#This Row],[요일]]))=0,"",IF(AND(BI$7=$E11,$F11=1),중요_시점_표식,"")),"")</f>
        <v/>
      </c>
      <c r="BJ11" s="26" t="str">
        <f ca="1">IFERROR(IF(LEN(_xlfn.SINGLE(중요_시점34[[#This Row],[요일]]))=0,"",IF(AND(BJ$7=$E11,$F11=1),중요_시점_표식,"")),"")</f>
        <v/>
      </c>
      <c r="BK11" s="26" t="str">
        <f ca="1">IFERROR(IF(LEN(_xlfn.SINGLE(중요_시점34[[#This Row],[요일]]))=0,"",IF(AND(BK$7=$E11,$F11=1),중요_시점_표식,"")),"")</f>
        <v/>
      </c>
    </row>
    <row r="12" spans="1:63" s="1" customFormat="1" ht="30" customHeight="1" outlineLevel="1">
      <c r="A12" s="6"/>
      <c r="B12" s="49" t="s">
        <v>11</v>
      </c>
      <c r="C12" s="13"/>
      <c r="D12" s="82"/>
      <c r="E12" s="42">
        <f ca="1">TODAY()+5</f>
        <v>44593</v>
      </c>
      <c r="F12" s="12">
        <v>1</v>
      </c>
      <c r="G12" s="27"/>
      <c r="H12" s="26" t="str">
        <f ca="1">IFERROR(IF(LEN(_xlfn.SINGLE(중요_시점34[[#This Row],[요일]]))=0,"",IF(AND(H$7=$E12,$F12=1),중요_시점_표식,"")),"")</f>
        <v/>
      </c>
      <c r="I12" s="26" t="str">
        <f ca="1">IFERROR(IF(LEN(_xlfn.SINGLE(중요_시점34[[#This Row],[요일]]))=0,"",IF(AND(I$7=$E12,$F12=1),중요_시점_표식,"")),"")</f>
        <v/>
      </c>
      <c r="J12" s="26" t="str">
        <f ca="1">IFERROR(IF(LEN(_xlfn.SINGLE(중요_시점34[[#This Row],[요일]]))=0,"",IF(AND(J$7=$E12,$F12=1),중요_시점_표식,"")),"")</f>
        <v/>
      </c>
      <c r="K12" s="26" t="str">
        <f ca="1">IFERROR(IF(LEN(_xlfn.SINGLE(중요_시점34[[#This Row],[요일]]))=0,"",IF(AND(K$7=$E12,$F12=1),중요_시점_표식,"")),"")</f>
        <v/>
      </c>
      <c r="L12" s="26" t="str">
        <f ca="1">IFERROR(IF(LEN(_xlfn.SINGLE(중요_시점34[[#This Row],[요일]]))=0,"",IF(AND(L$7=$E12,$F12=1),중요_시점_표식,"")),"")</f>
        <v/>
      </c>
      <c r="M12" s="26" t="str">
        <f ca="1">IFERROR(IF(LEN(_xlfn.SINGLE(중요_시점34[[#This Row],[요일]]))=0,"",IF(AND(M$7=$E12,$F12=1),중요_시점_표식,"")),"")</f>
        <v/>
      </c>
      <c r="N12" s="26" t="str">
        <f ca="1">IFERROR(IF(LEN(_xlfn.SINGLE(중요_시점34[[#This Row],[요일]]))=0,"",IF(AND(N$7=$E12,$F12=1),중요_시점_표식,"")),"")</f>
        <v/>
      </c>
      <c r="O12" s="26" t="str">
        <f ca="1">IFERROR(IF(LEN(_xlfn.SINGLE(중요_시점34[[#This Row],[요일]]))=0,"",IF(AND(O$7=$E12,$F12=1),중요_시점_표식,"")),"")</f>
        <v/>
      </c>
      <c r="P12" s="26" t="str">
        <f ca="1">IFERROR(IF(LEN(_xlfn.SINGLE(중요_시점34[[#This Row],[요일]]))=0,"",IF(AND(P$7=$E12,$F12=1),중요_시점_표식,"")),"")</f>
        <v/>
      </c>
      <c r="Q12" s="26" t="str">
        <f ca="1">IFERROR(IF(LEN(_xlfn.SINGLE(중요_시점34[[#This Row],[요일]]))=0,"",IF(AND(Q$7=$E12,$F12=1),중요_시점_표식,"")),"")</f>
        <v/>
      </c>
      <c r="R12" s="26" t="str">
        <f ca="1">IFERROR(IF(LEN(_xlfn.SINGLE(중요_시점34[[#This Row],[요일]]))=0,"",IF(AND(R$7=$E12,$F12=1),중요_시점_표식,"")),"")</f>
        <v/>
      </c>
      <c r="S12" s="26" t="str">
        <f ca="1">IFERROR(IF(LEN(_xlfn.SINGLE(중요_시점34[[#This Row],[요일]]))=0,"",IF(AND(S$7=$E12,$F12=1),중요_시점_표식,"")),"")</f>
        <v/>
      </c>
      <c r="T12" s="26" t="str">
        <f ca="1">IFERROR(IF(LEN(_xlfn.SINGLE(중요_시점34[[#This Row],[요일]]))=0,"",IF(AND(T$7=$E12,$F12=1),중요_시점_표식,"")),"")</f>
        <v/>
      </c>
      <c r="U12" s="26" t="str">
        <f ca="1">IFERROR(IF(LEN(_xlfn.SINGLE(중요_시점34[[#This Row],[요일]]))=0,"",IF(AND(U$7=$E12,$F12=1),중요_시점_표식,"")),"")</f>
        <v/>
      </c>
      <c r="V12" s="26" t="str">
        <f ca="1">IFERROR(IF(LEN(_xlfn.SINGLE(중요_시점34[[#This Row],[요일]]))=0,"",IF(AND(V$7=$E12,$F12=1),중요_시점_표식,"")),"")</f>
        <v/>
      </c>
      <c r="W12" s="26" t="str">
        <f ca="1">IFERROR(IF(LEN(_xlfn.SINGLE(중요_시점34[[#This Row],[요일]]))=0,"",IF(AND(W$7=$E12,$F12=1),중요_시점_표식,"")),"")</f>
        <v/>
      </c>
      <c r="X12" s="26" t="str">
        <f ca="1">IFERROR(IF(LEN(_xlfn.SINGLE(중요_시점34[[#This Row],[요일]]))=0,"",IF(AND(X$7=$E12,$F12=1),중요_시점_표식,"")),"")</f>
        <v/>
      </c>
      <c r="Y12" s="26" t="str">
        <f ca="1">IFERROR(IF(LEN(_xlfn.SINGLE(중요_시점34[[#This Row],[요일]]))=0,"",IF(AND(Y$7=$E12,$F12=1),중요_시점_표식,"")),"")</f>
        <v/>
      </c>
      <c r="Z12" s="26" t="str">
        <f ca="1">IFERROR(IF(LEN(_xlfn.SINGLE(중요_시점34[[#This Row],[요일]]))=0,"",IF(AND(Z$7=$E12,$F12=1),중요_시점_표식,"")),"")</f>
        <v/>
      </c>
      <c r="AA12" s="26" t="str">
        <f ca="1">IFERROR(IF(LEN(_xlfn.SINGLE(중요_시점34[[#This Row],[요일]]))=0,"",IF(AND(AA$7=$E12,$F12=1),중요_시점_표식,"")),"")</f>
        <v/>
      </c>
      <c r="AB12" s="26" t="str">
        <f ca="1">IFERROR(IF(LEN(_xlfn.SINGLE(중요_시점34[[#This Row],[요일]]))=0,"",IF(AND(AB$7=$E12,$F12=1),중요_시점_표식,"")),"")</f>
        <v/>
      </c>
      <c r="AC12" s="26" t="str">
        <f ca="1">IFERROR(IF(LEN(_xlfn.SINGLE(중요_시점34[[#This Row],[요일]]))=0,"",IF(AND(AC$7=$E12,$F12=1),중요_시점_표식,"")),"")</f>
        <v/>
      </c>
      <c r="AD12" s="26" t="str">
        <f ca="1">IFERROR(IF(LEN(_xlfn.SINGLE(중요_시점34[[#This Row],[요일]]))=0,"",IF(AND(AD$7=$E12,$F12=1),중요_시점_표식,"")),"")</f>
        <v/>
      </c>
      <c r="AE12" s="26" t="str">
        <f ca="1">IFERROR(IF(LEN(_xlfn.SINGLE(중요_시점34[[#This Row],[요일]]))=0,"",IF(AND(AE$7=$E12,$F12=1),중요_시점_표식,"")),"")</f>
        <v/>
      </c>
      <c r="AF12" s="26" t="str">
        <f ca="1">IFERROR(IF(LEN(_xlfn.SINGLE(중요_시점34[[#This Row],[요일]]))=0,"",IF(AND(AF$7=$E12,$F12=1),중요_시점_표식,"")),"")</f>
        <v/>
      </c>
      <c r="AG12" s="26" t="str">
        <f ca="1">IFERROR(IF(LEN(_xlfn.SINGLE(중요_시점34[[#This Row],[요일]]))=0,"",IF(AND(AG$7=$E12,$F12=1),중요_시점_표식,"")),"")</f>
        <v/>
      </c>
      <c r="AH12" s="26" t="str">
        <f ca="1">IFERROR(IF(LEN(_xlfn.SINGLE(중요_시점34[[#This Row],[요일]]))=0,"",IF(AND(AH$7=$E12,$F12=1),중요_시점_표식,"")),"")</f>
        <v/>
      </c>
      <c r="AI12" s="26" t="str">
        <f ca="1">IFERROR(IF(LEN(_xlfn.SINGLE(중요_시점34[[#This Row],[요일]]))=0,"",IF(AND(AI$7=$E12,$F12=1),중요_시점_표식,"")),"")</f>
        <v/>
      </c>
      <c r="AJ12" s="26" t="str">
        <f ca="1">IFERROR(IF(LEN(_xlfn.SINGLE(중요_시점34[[#This Row],[요일]]))=0,"",IF(AND(AJ$7=$E12,$F12=1),중요_시점_표식,"")),"")</f>
        <v/>
      </c>
      <c r="AK12" s="26" t="str">
        <f ca="1">IFERROR(IF(LEN(_xlfn.SINGLE(중요_시점34[[#This Row],[요일]]))=0,"",IF(AND(AK$7=$E12,$F12=1),중요_시점_표식,"")),"")</f>
        <v/>
      </c>
      <c r="AL12" s="26" t="str">
        <f ca="1">IFERROR(IF(LEN(_xlfn.SINGLE(중요_시점34[[#This Row],[요일]]))=0,"",IF(AND(AL$7=$E12,$F12=1),중요_시점_표식,"")),"")</f>
        <v/>
      </c>
      <c r="AM12" s="26" t="str">
        <f ca="1">IFERROR(IF(LEN(_xlfn.SINGLE(중요_시점34[[#This Row],[요일]]))=0,"",IF(AND(AM$7=$E12,$F12=1),중요_시점_표식,"")),"")</f>
        <v/>
      </c>
      <c r="AN12" s="26" t="str">
        <f ca="1">IFERROR(IF(LEN(_xlfn.SINGLE(중요_시점34[[#This Row],[요일]]))=0,"",IF(AND(AN$7=$E12,$F12=1),중요_시점_표식,"")),"")</f>
        <v/>
      </c>
      <c r="AO12" s="26" t="str">
        <f ca="1">IFERROR(IF(LEN(_xlfn.SINGLE(중요_시점34[[#This Row],[요일]]))=0,"",IF(AND(AO$7=$E12,$F12=1),중요_시점_표식,"")),"")</f>
        <v/>
      </c>
      <c r="AP12" s="26" t="str">
        <f ca="1">IFERROR(IF(LEN(_xlfn.SINGLE(중요_시점34[[#This Row],[요일]]))=0,"",IF(AND(AP$7=$E12,$F12=1),중요_시점_표식,"")),"")</f>
        <v/>
      </c>
      <c r="AQ12" s="26" t="str">
        <f ca="1">IFERROR(IF(LEN(_xlfn.SINGLE(중요_시점34[[#This Row],[요일]]))=0,"",IF(AND(AQ$7=$E12,$F12=1),중요_시점_표식,"")),"")</f>
        <v/>
      </c>
      <c r="AR12" s="26" t="str">
        <f ca="1">IFERROR(IF(LEN(_xlfn.SINGLE(중요_시점34[[#This Row],[요일]]))=0,"",IF(AND(AR$7=$E12,$F12=1),중요_시점_표식,"")),"")</f>
        <v/>
      </c>
      <c r="AS12" s="26" t="str">
        <f ca="1">IFERROR(IF(LEN(_xlfn.SINGLE(중요_시점34[[#This Row],[요일]]))=0,"",IF(AND(AS$7=$E12,$F12=1),중요_시점_표식,"")),"")</f>
        <v/>
      </c>
      <c r="AT12" s="26" t="str">
        <f ca="1">IFERROR(IF(LEN(_xlfn.SINGLE(중요_시점34[[#This Row],[요일]]))=0,"",IF(AND(AT$7=$E12,$F12=1),중요_시점_표식,"")),"")</f>
        <v/>
      </c>
      <c r="AU12" s="26" t="str">
        <f ca="1">IFERROR(IF(LEN(_xlfn.SINGLE(중요_시점34[[#This Row],[요일]]))=0,"",IF(AND(AU$7=$E12,$F12=1),중요_시점_표식,"")),"")</f>
        <v/>
      </c>
      <c r="AV12" s="26" t="str">
        <f ca="1">IFERROR(IF(LEN(_xlfn.SINGLE(중요_시점34[[#This Row],[요일]]))=0,"",IF(AND(AV$7=$E12,$F12=1),중요_시점_표식,"")),"")</f>
        <v/>
      </c>
      <c r="AW12" s="26" t="str">
        <f ca="1">IFERROR(IF(LEN(_xlfn.SINGLE(중요_시점34[[#This Row],[요일]]))=0,"",IF(AND(AW$7=$E12,$F12=1),중요_시점_표식,"")),"")</f>
        <v/>
      </c>
      <c r="AX12" s="26" t="str">
        <f ca="1">IFERROR(IF(LEN(_xlfn.SINGLE(중요_시점34[[#This Row],[요일]]))=0,"",IF(AND(AX$7=$E12,$F12=1),중요_시점_표식,"")),"")</f>
        <v/>
      </c>
      <c r="AY12" s="26" t="str">
        <f ca="1">IFERROR(IF(LEN(_xlfn.SINGLE(중요_시점34[[#This Row],[요일]]))=0,"",IF(AND(AY$7=$E12,$F12=1),중요_시점_표식,"")),"")</f>
        <v/>
      </c>
      <c r="AZ12" s="26" t="str">
        <f ca="1">IFERROR(IF(LEN(_xlfn.SINGLE(중요_시점34[[#This Row],[요일]]))=0,"",IF(AND(AZ$7=$E12,$F12=1),중요_시점_표식,"")),"")</f>
        <v/>
      </c>
      <c r="BA12" s="26" t="str">
        <f ca="1">IFERROR(IF(LEN(_xlfn.SINGLE(중요_시점34[[#This Row],[요일]]))=0,"",IF(AND(BA$7=$E12,$F12=1),중요_시점_표식,"")),"")</f>
        <v/>
      </c>
      <c r="BB12" s="26" t="str">
        <f ca="1">IFERROR(IF(LEN(_xlfn.SINGLE(중요_시점34[[#This Row],[요일]]))=0,"",IF(AND(BB$7=$E12,$F12=1),중요_시점_표식,"")),"")</f>
        <v/>
      </c>
      <c r="BC12" s="26" t="str">
        <f ca="1">IFERROR(IF(LEN(_xlfn.SINGLE(중요_시점34[[#This Row],[요일]]))=0,"",IF(AND(BC$7=$E12,$F12=1),중요_시점_표식,"")),"")</f>
        <v/>
      </c>
      <c r="BD12" s="26" t="str">
        <f ca="1">IFERROR(IF(LEN(_xlfn.SINGLE(중요_시점34[[#This Row],[요일]]))=0,"",IF(AND(BD$7=$E12,$F12=1),중요_시점_표식,"")),"")</f>
        <v/>
      </c>
      <c r="BE12" s="26" t="str">
        <f ca="1">IFERROR(IF(LEN(_xlfn.SINGLE(중요_시점34[[#This Row],[요일]]))=0,"",IF(AND(BE$7=$E12,$F12=1),중요_시점_표식,"")),"")</f>
        <v/>
      </c>
      <c r="BF12" s="26" t="str">
        <f ca="1">IFERROR(IF(LEN(_xlfn.SINGLE(중요_시점34[[#This Row],[요일]]))=0,"",IF(AND(BF$7=$E12,$F12=1),중요_시점_표식,"")),"")</f>
        <v/>
      </c>
      <c r="BG12" s="26" t="str">
        <f ca="1">IFERROR(IF(LEN(_xlfn.SINGLE(중요_시점34[[#This Row],[요일]]))=0,"",IF(AND(BG$7=$E12,$F12=1),중요_시점_표식,"")),"")</f>
        <v/>
      </c>
      <c r="BH12" s="26" t="str">
        <f ca="1">IFERROR(IF(LEN(_xlfn.SINGLE(중요_시점34[[#This Row],[요일]]))=0,"",IF(AND(BH$7=$E12,$F12=1),중요_시점_표식,"")),"")</f>
        <v/>
      </c>
      <c r="BI12" s="26" t="str">
        <f ca="1">IFERROR(IF(LEN(_xlfn.SINGLE(중요_시점34[[#This Row],[요일]]))=0,"",IF(AND(BI$7=$E12,$F12=1),중요_시점_표식,"")),"")</f>
        <v/>
      </c>
      <c r="BJ12" s="26" t="str">
        <f ca="1">IFERROR(IF(LEN(_xlfn.SINGLE(중요_시점34[[#This Row],[요일]]))=0,"",IF(AND(BJ$7=$E12,$F12=1),중요_시점_표식,"")),"")</f>
        <v/>
      </c>
      <c r="BK12" s="26" t="str">
        <f ca="1">IFERROR(IF(LEN(_xlfn.SINGLE(중요_시점34[[#This Row],[요일]]))=0,"",IF(AND(BK$7=$E12,$F12=1),중요_시점_표식,"")),"")</f>
        <v/>
      </c>
    </row>
    <row r="13" spans="1:63" s="1" customFormat="1" ht="30" customHeight="1" outlineLevel="1">
      <c r="A13" s="5"/>
      <c r="B13" s="49" t="s">
        <v>12</v>
      </c>
      <c r="C13" s="13"/>
      <c r="D13" s="82">
        <v>0.5</v>
      </c>
      <c r="E13" s="42">
        <f ca="1">TODAY()-3</f>
        <v>44585</v>
      </c>
      <c r="F13" s="12">
        <v>10</v>
      </c>
      <c r="G13" s="27"/>
      <c r="H13" s="26" t="str">
        <f ca="1">IFERROR(IF(LEN(_xlfn.SINGLE(중요_시점34[[#This Row],[요일]]))=0,"",IF(AND(H$7=$E13,$F13=1),중요_시점_표식,"")),"")</f>
        <v/>
      </c>
      <c r="I13" s="26" t="str">
        <f ca="1">IFERROR(IF(LEN(_xlfn.SINGLE(중요_시점34[[#This Row],[요일]]))=0,"",IF(AND(I$7=$E13,$F13=1),중요_시점_표식,"")),"")</f>
        <v/>
      </c>
      <c r="J13" s="26" t="str">
        <f ca="1">IFERROR(IF(LEN(_xlfn.SINGLE(중요_시점34[[#This Row],[요일]]))=0,"",IF(AND(J$7=$E13,$F13=1),중요_시점_표식,"")),"")</f>
        <v/>
      </c>
      <c r="K13" s="26" t="str">
        <f ca="1">IFERROR(IF(LEN(_xlfn.SINGLE(중요_시점34[[#This Row],[요일]]))=0,"",IF(AND(K$7=$E13,$F13=1),중요_시점_표식,"")),"")</f>
        <v/>
      </c>
      <c r="L13" s="26" t="str">
        <f ca="1">IFERROR(IF(LEN(_xlfn.SINGLE(중요_시점34[[#This Row],[요일]]))=0,"",IF(AND(L$7=$E13,$F13=1),중요_시점_표식,"")),"")</f>
        <v/>
      </c>
      <c r="M13" s="26" t="str">
        <f ca="1">IFERROR(IF(LEN(_xlfn.SINGLE(중요_시점34[[#This Row],[요일]]))=0,"",IF(AND(M$7=$E13,$F13=1),중요_시점_표식,"")),"")</f>
        <v/>
      </c>
      <c r="N13" s="26" t="str">
        <f ca="1">IFERROR(IF(LEN(_xlfn.SINGLE(중요_시점34[[#This Row],[요일]]))=0,"",IF(AND(N$7=$E13,$F13=1),중요_시점_표식,"")),"")</f>
        <v/>
      </c>
      <c r="O13" s="26" t="str">
        <f ca="1">IFERROR(IF(LEN(_xlfn.SINGLE(중요_시점34[[#This Row],[요일]]))=0,"",IF(AND(O$7=$E13,$F13=1),중요_시점_표식,"")),"")</f>
        <v/>
      </c>
      <c r="P13" s="26" t="str">
        <f ca="1">IFERROR(IF(LEN(_xlfn.SINGLE(중요_시점34[[#This Row],[요일]]))=0,"",IF(AND(P$7=$E13,$F13=1),중요_시점_표식,"")),"")</f>
        <v/>
      </c>
      <c r="Q13" s="26" t="str">
        <f ca="1">IFERROR(IF(LEN(_xlfn.SINGLE(중요_시점34[[#This Row],[요일]]))=0,"",IF(AND(Q$7=$E13,$F13=1),중요_시점_표식,"")),"")</f>
        <v/>
      </c>
      <c r="R13" s="26" t="str">
        <f ca="1">IFERROR(IF(LEN(_xlfn.SINGLE(중요_시점34[[#This Row],[요일]]))=0,"",IF(AND(R$7=$E13,$F13=1),중요_시점_표식,"")),"")</f>
        <v/>
      </c>
      <c r="S13" s="26" t="str">
        <f ca="1">IFERROR(IF(LEN(_xlfn.SINGLE(중요_시점34[[#This Row],[요일]]))=0,"",IF(AND(S$7=$E13,$F13=1),중요_시점_표식,"")),"")</f>
        <v/>
      </c>
      <c r="T13" s="26" t="str">
        <f ca="1">IFERROR(IF(LEN(_xlfn.SINGLE(중요_시점34[[#This Row],[요일]]))=0,"",IF(AND(T$7=$E13,$F13=1),중요_시점_표식,"")),"")</f>
        <v/>
      </c>
      <c r="U13" s="26" t="str">
        <f ca="1">IFERROR(IF(LEN(_xlfn.SINGLE(중요_시점34[[#This Row],[요일]]))=0,"",IF(AND(U$7=$E13,$F13=1),중요_시점_표식,"")),"")</f>
        <v/>
      </c>
      <c r="V13" s="26" t="str">
        <f ca="1">IFERROR(IF(LEN(_xlfn.SINGLE(중요_시점34[[#This Row],[요일]]))=0,"",IF(AND(V$7=$E13,$F13=1),중요_시점_표식,"")),"")</f>
        <v/>
      </c>
      <c r="W13" s="26" t="str">
        <f ca="1">IFERROR(IF(LEN(_xlfn.SINGLE(중요_시점34[[#This Row],[요일]]))=0,"",IF(AND(W$7=$E13,$F13=1),중요_시점_표식,"")),"")</f>
        <v/>
      </c>
      <c r="X13" s="26" t="str">
        <f ca="1">IFERROR(IF(LEN(_xlfn.SINGLE(중요_시점34[[#This Row],[요일]]))=0,"",IF(AND(X$7=$E13,$F13=1),중요_시점_표식,"")),"")</f>
        <v/>
      </c>
      <c r="Y13" s="26" t="str">
        <f ca="1">IFERROR(IF(LEN(_xlfn.SINGLE(중요_시점34[[#This Row],[요일]]))=0,"",IF(AND(Y$7=$E13,$F13=1),중요_시점_표식,"")),"")</f>
        <v/>
      </c>
      <c r="Z13" s="26" t="str">
        <f ca="1">IFERROR(IF(LEN(_xlfn.SINGLE(중요_시점34[[#This Row],[요일]]))=0,"",IF(AND(Z$7=$E13,$F13=1),중요_시점_표식,"")),"")</f>
        <v/>
      </c>
      <c r="AA13" s="26" t="str">
        <f ca="1">IFERROR(IF(LEN(_xlfn.SINGLE(중요_시점34[[#This Row],[요일]]))=0,"",IF(AND(AA$7=$E13,$F13=1),중요_시점_표식,"")),"")</f>
        <v/>
      </c>
      <c r="AB13" s="26" t="str">
        <f ca="1">IFERROR(IF(LEN(_xlfn.SINGLE(중요_시점34[[#This Row],[요일]]))=0,"",IF(AND(AB$7=$E13,$F13=1),중요_시점_표식,"")),"")</f>
        <v/>
      </c>
      <c r="AC13" s="26" t="str">
        <f ca="1">IFERROR(IF(LEN(_xlfn.SINGLE(중요_시점34[[#This Row],[요일]]))=0,"",IF(AND(AC$7=$E13,$F13=1),중요_시점_표식,"")),"")</f>
        <v/>
      </c>
      <c r="AD13" s="26" t="str">
        <f ca="1">IFERROR(IF(LEN(_xlfn.SINGLE(중요_시점34[[#This Row],[요일]]))=0,"",IF(AND(AD$7=$E13,$F13=1),중요_시점_표식,"")),"")</f>
        <v/>
      </c>
      <c r="AE13" s="26" t="str">
        <f ca="1">IFERROR(IF(LEN(_xlfn.SINGLE(중요_시점34[[#This Row],[요일]]))=0,"",IF(AND(AE$7=$E13,$F13=1),중요_시점_표식,"")),"")</f>
        <v/>
      </c>
      <c r="AF13" s="26" t="str">
        <f ca="1">IFERROR(IF(LEN(_xlfn.SINGLE(중요_시점34[[#This Row],[요일]]))=0,"",IF(AND(AF$7=$E13,$F13=1),중요_시점_표식,"")),"")</f>
        <v/>
      </c>
      <c r="AG13" s="26" t="str">
        <f ca="1">IFERROR(IF(LEN(_xlfn.SINGLE(중요_시점34[[#This Row],[요일]]))=0,"",IF(AND(AG$7=$E13,$F13=1),중요_시점_표식,"")),"")</f>
        <v/>
      </c>
      <c r="AH13" s="26" t="str">
        <f ca="1">IFERROR(IF(LEN(_xlfn.SINGLE(중요_시점34[[#This Row],[요일]]))=0,"",IF(AND(AH$7=$E13,$F13=1),중요_시점_표식,"")),"")</f>
        <v/>
      </c>
      <c r="AI13" s="26" t="str">
        <f ca="1">IFERROR(IF(LEN(_xlfn.SINGLE(중요_시점34[[#This Row],[요일]]))=0,"",IF(AND(AI$7=$E13,$F13=1),중요_시점_표식,"")),"")</f>
        <v/>
      </c>
      <c r="AJ13" s="26" t="str">
        <f ca="1">IFERROR(IF(LEN(_xlfn.SINGLE(중요_시점34[[#This Row],[요일]]))=0,"",IF(AND(AJ$7=$E13,$F13=1),중요_시점_표식,"")),"")</f>
        <v/>
      </c>
      <c r="AK13" s="26" t="str">
        <f ca="1">IFERROR(IF(LEN(_xlfn.SINGLE(중요_시점34[[#This Row],[요일]]))=0,"",IF(AND(AK$7=$E13,$F13=1),중요_시점_표식,"")),"")</f>
        <v/>
      </c>
      <c r="AL13" s="26" t="str">
        <f ca="1">IFERROR(IF(LEN(_xlfn.SINGLE(중요_시점34[[#This Row],[요일]]))=0,"",IF(AND(AL$7=$E13,$F13=1),중요_시점_표식,"")),"")</f>
        <v/>
      </c>
      <c r="AM13" s="26" t="str">
        <f ca="1">IFERROR(IF(LEN(_xlfn.SINGLE(중요_시점34[[#This Row],[요일]]))=0,"",IF(AND(AM$7=$E13,$F13=1),중요_시점_표식,"")),"")</f>
        <v/>
      </c>
      <c r="AN13" s="26" t="str">
        <f ca="1">IFERROR(IF(LEN(_xlfn.SINGLE(중요_시점34[[#This Row],[요일]]))=0,"",IF(AND(AN$7=$E13,$F13=1),중요_시점_표식,"")),"")</f>
        <v/>
      </c>
      <c r="AO13" s="26" t="str">
        <f ca="1">IFERROR(IF(LEN(_xlfn.SINGLE(중요_시점34[[#This Row],[요일]]))=0,"",IF(AND(AO$7=$E13,$F13=1),중요_시점_표식,"")),"")</f>
        <v/>
      </c>
      <c r="AP13" s="26" t="str">
        <f ca="1">IFERROR(IF(LEN(_xlfn.SINGLE(중요_시점34[[#This Row],[요일]]))=0,"",IF(AND(AP$7=$E13,$F13=1),중요_시점_표식,"")),"")</f>
        <v/>
      </c>
      <c r="AQ13" s="26" t="str">
        <f ca="1">IFERROR(IF(LEN(_xlfn.SINGLE(중요_시점34[[#This Row],[요일]]))=0,"",IF(AND(AQ$7=$E13,$F13=1),중요_시점_표식,"")),"")</f>
        <v/>
      </c>
      <c r="AR13" s="26" t="str">
        <f ca="1">IFERROR(IF(LEN(_xlfn.SINGLE(중요_시점34[[#This Row],[요일]]))=0,"",IF(AND(AR$7=$E13,$F13=1),중요_시점_표식,"")),"")</f>
        <v/>
      </c>
      <c r="AS13" s="26" t="str">
        <f ca="1">IFERROR(IF(LEN(_xlfn.SINGLE(중요_시점34[[#This Row],[요일]]))=0,"",IF(AND(AS$7=$E13,$F13=1),중요_시점_표식,"")),"")</f>
        <v/>
      </c>
      <c r="AT13" s="26" t="str">
        <f ca="1">IFERROR(IF(LEN(_xlfn.SINGLE(중요_시점34[[#This Row],[요일]]))=0,"",IF(AND(AT$7=$E13,$F13=1),중요_시점_표식,"")),"")</f>
        <v/>
      </c>
      <c r="AU13" s="26" t="str">
        <f ca="1">IFERROR(IF(LEN(_xlfn.SINGLE(중요_시점34[[#This Row],[요일]]))=0,"",IF(AND(AU$7=$E13,$F13=1),중요_시점_표식,"")),"")</f>
        <v/>
      </c>
      <c r="AV13" s="26" t="str">
        <f ca="1">IFERROR(IF(LEN(_xlfn.SINGLE(중요_시점34[[#This Row],[요일]]))=0,"",IF(AND(AV$7=$E13,$F13=1),중요_시점_표식,"")),"")</f>
        <v/>
      </c>
      <c r="AW13" s="26" t="str">
        <f ca="1">IFERROR(IF(LEN(_xlfn.SINGLE(중요_시점34[[#This Row],[요일]]))=0,"",IF(AND(AW$7=$E13,$F13=1),중요_시점_표식,"")),"")</f>
        <v/>
      </c>
      <c r="AX13" s="26" t="str">
        <f ca="1">IFERROR(IF(LEN(_xlfn.SINGLE(중요_시점34[[#This Row],[요일]]))=0,"",IF(AND(AX$7=$E13,$F13=1),중요_시점_표식,"")),"")</f>
        <v/>
      </c>
      <c r="AY13" s="26" t="str">
        <f ca="1">IFERROR(IF(LEN(_xlfn.SINGLE(중요_시점34[[#This Row],[요일]]))=0,"",IF(AND(AY$7=$E13,$F13=1),중요_시점_표식,"")),"")</f>
        <v/>
      </c>
      <c r="AZ13" s="26" t="str">
        <f ca="1">IFERROR(IF(LEN(_xlfn.SINGLE(중요_시점34[[#This Row],[요일]]))=0,"",IF(AND(AZ$7=$E13,$F13=1),중요_시점_표식,"")),"")</f>
        <v/>
      </c>
      <c r="BA13" s="26" t="str">
        <f ca="1">IFERROR(IF(LEN(_xlfn.SINGLE(중요_시점34[[#This Row],[요일]]))=0,"",IF(AND(BA$7=$E13,$F13=1),중요_시점_표식,"")),"")</f>
        <v/>
      </c>
      <c r="BB13" s="26" t="str">
        <f ca="1">IFERROR(IF(LEN(_xlfn.SINGLE(중요_시점34[[#This Row],[요일]]))=0,"",IF(AND(BB$7=$E13,$F13=1),중요_시점_표식,"")),"")</f>
        <v/>
      </c>
      <c r="BC13" s="26" t="str">
        <f ca="1">IFERROR(IF(LEN(_xlfn.SINGLE(중요_시점34[[#This Row],[요일]]))=0,"",IF(AND(BC$7=$E13,$F13=1),중요_시점_표식,"")),"")</f>
        <v/>
      </c>
      <c r="BD13" s="26" t="str">
        <f ca="1">IFERROR(IF(LEN(_xlfn.SINGLE(중요_시점34[[#This Row],[요일]]))=0,"",IF(AND(BD$7=$E13,$F13=1),중요_시점_표식,"")),"")</f>
        <v/>
      </c>
      <c r="BE13" s="26" t="str">
        <f ca="1">IFERROR(IF(LEN(_xlfn.SINGLE(중요_시점34[[#This Row],[요일]]))=0,"",IF(AND(BE$7=$E13,$F13=1),중요_시점_표식,"")),"")</f>
        <v/>
      </c>
      <c r="BF13" s="26" t="str">
        <f ca="1">IFERROR(IF(LEN(_xlfn.SINGLE(중요_시점34[[#This Row],[요일]]))=0,"",IF(AND(BF$7=$E13,$F13=1),중요_시점_표식,"")),"")</f>
        <v/>
      </c>
      <c r="BG13" s="26" t="str">
        <f ca="1">IFERROR(IF(LEN(_xlfn.SINGLE(중요_시점34[[#This Row],[요일]]))=0,"",IF(AND(BG$7=$E13,$F13=1),중요_시점_표식,"")),"")</f>
        <v/>
      </c>
      <c r="BH13" s="26" t="str">
        <f ca="1">IFERROR(IF(LEN(_xlfn.SINGLE(중요_시점34[[#This Row],[요일]]))=0,"",IF(AND(BH$7=$E13,$F13=1),중요_시점_표식,"")),"")</f>
        <v/>
      </c>
      <c r="BI13" s="26" t="str">
        <f ca="1">IFERROR(IF(LEN(_xlfn.SINGLE(중요_시점34[[#This Row],[요일]]))=0,"",IF(AND(BI$7=$E13,$F13=1),중요_시점_표식,"")),"")</f>
        <v/>
      </c>
      <c r="BJ13" s="26" t="str">
        <f ca="1">IFERROR(IF(LEN(_xlfn.SINGLE(중요_시점34[[#This Row],[요일]]))=0,"",IF(AND(BJ$7=$E13,$F13=1),중요_시점_표식,"")),"")</f>
        <v/>
      </c>
      <c r="BK13" s="26" t="str">
        <f ca="1">IFERROR(IF(LEN(_xlfn.SINGLE(중요_시점34[[#This Row],[요일]]))=0,"",IF(AND(BK$7=$E13,$F13=1),중요_시점_표식,"")),"")</f>
        <v/>
      </c>
    </row>
    <row r="14" spans="1:63" s="1" customFormat="1" ht="30" customHeight="1" outlineLevel="1">
      <c r="A14" s="5"/>
      <c r="B14" s="49" t="s">
        <v>13</v>
      </c>
      <c r="C14" s="13"/>
      <c r="D14" s="82"/>
      <c r="E14" s="42">
        <f ca="1">TODAY()+20</f>
        <v>44608</v>
      </c>
      <c r="F14" s="12">
        <v>1</v>
      </c>
      <c r="G14" s="27"/>
      <c r="H14" s="26" t="str">
        <f ca="1">IFERROR(IF(LEN(_xlfn.SINGLE(중요_시점34[[#This Row],[요일]]))=0,"",IF(AND(H$7=$E14,$F14=1),중요_시점_표식,"")),"")</f>
        <v/>
      </c>
      <c r="I14" s="26" t="str">
        <f ca="1">IFERROR(IF(LEN(_xlfn.SINGLE(중요_시점34[[#This Row],[요일]]))=0,"",IF(AND(I$7=$E14,$F14=1),중요_시점_표식,"")),"")</f>
        <v/>
      </c>
      <c r="J14" s="26" t="str">
        <f ca="1">IFERROR(IF(LEN(_xlfn.SINGLE(중요_시점34[[#This Row],[요일]]))=0,"",IF(AND(J$7=$E14,$F14=1),중요_시점_표식,"")),"")</f>
        <v/>
      </c>
      <c r="K14" s="26" t="str">
        <f ca="1">IFERROR(IF(LEN(_xlfn.SINGLE(중요_시점34[[#This Row],[요일]]))=0,"",IF(AND(K$7=$E14,$F14=1),중요_시점_표식,"")),"")</f>
        <v/>
      </c>
      <c r="L14" s="26" t="str">
        <f ca="1">IFERROR(IF(LEN(_xlfn.SINGLE(중요_시점34[[#This Row],[요일]]))=0,"",IF(AND(L$7=$E14,$F14=1),중요_시점_표식,"")),"")</f>
        <v/>
      </c>
      <c r="M14" s="26" t="str">
        <f ca="1">IFERROR(IF(LEN(_xlfn.SINGLE(중요_시점34[[#This Row],[요일]]))=0,"",IF(AND(M$7=$E14,$F14=1),중요_시점_표식,"")),"")</f>
        <v/>
      </c>
      <c r="N14" s="26" t="str">
        <f ca="1">IFERROR(IF(LEN(_xlfn.SINGLE(중요_시점34[[#This Row],[요일]]))=0,"",IF(AND(N$7=$E14,$F14=1),중요_시점_표식,"")),"")</f>
        <v/>
      </c>
      <c r="O14" s="26">
        <f ca="1">IFERROR(IF(LEN(_xlfn.SINGLE(중요_시점34[[#This Row],[요일]]))=0,"",IF(AND(O$7=$E14,$F14=1),중요_시점_표식,"")),"")</f>
        <v>1</v>
      </c>
      <c r="P14" s="26" t="str">
        <f ca="1">IFERROR(IF(LEN(_xlfn.SINGLE(중요_시점34[[#This Row],[요일]]))=0,"",IF(AND(P$7=$E14,$F14=1),중요_시점_표식,"")),"")</f>
        <v/>
      </c>
      <c r="Q14" s="26" t="str">
        <f ca="1">IFERROR(IF(LEN(_xlfn.SINGLE(중요_시점34[[#This Row],[요일]]))=0,"",IF(AND(Q$7=$E14,$F14=1),중요_시점_표식,"")),"")</f>
        <v/>
      </c>
      <c r="R14" s="26" t="str">
        <f ca="1">IFERROR(IF(LEN(_xlfn.SINGLE(중요_시점34[[#This Row],[요일]]))=0,"",IF(AND(R$7=$E14,$F14=1),중요_시점_표식,"")),"")</f>
        <v/>
      </c>
      <c r="S14" s="26" t="str">
        <f ca="1">IFERROR(IF(LEN(_xlfn.SINGLE(중요_시점34[[#This Row],[요일]]))=0,"",IF(AND(S$7=$E14,$F14=1),중요_시점_표식,"")),"")</f>
        <v/>
      </c>
      <c r="T14" s="26" t="str">
        <f ca="1">IFERROR(IF(LEN(_xlfn.SINGLE(중요_시점34[[#This Row],[요일]]))=0,"",IF(AND(T$7=$E14,$F14=1),중요_시점_표식,"")),"")</f>
        <v/>
      </c>
      <c r="U14" s="26" t="str">
        <f ca="1">IFERROR(IF(LEN(_xlfn.SINGLE(중요_시점34[[#This Row],[요일]]))=0,"",IF(AND(U$7=$E14,$F14=1),중요_시점_표식,"")),"")</f>
        <v/>
      </c>
      <c r="V14" s="26" t="str">
        <f ca="1">IFERROR(IF(LEN(_xlfn.SINGLE(중요_시점34[[#This Row],[요일]]))=0,"",IF(AND(V$7=$E14,$F14=1),중요_시점_표식,"")),"")</f>
        <v/>
      </c>
      <c r="W14" s="26" t="str">
        <f ca="1">IFERROR(IF(LEN(_xlfn.SINGLE(중요_시점34[[#This Row],[요일]]))=0,"",IF(AND(W$7=$E14,$F14=1),중요_시점_표식,"")),"")</f>
        <v/>
      </c>
      <c r="X14" s="26" t="str">
        <f ca="1">IFERROR(IF(LEN(_xlfn.SINGLE(중요_시점34[[#This Row],[요일]]))=0,"",IF(AND(X$7=$E14,$F14=1),중요_시점_표식,"")),"")</f>
        <v/>
      </c>
      <c r="Y14" s="26" t="str">
        <f ca="1">IFERROR(IF(LEN(_xlfn.SINGLE(중요_시점34[[#This Row],[요일]]))=0,"",IF(AND(Y$7=$E14,$F14=1),중요_시점_표식,"")),"")</f>
        <v/>
      </c>
      <c r="Z14" s="26" t="str">
        <f ca="1">IFERROR(IF(LEN(_xlfn.SINGLE(중요_시점34[[#This Row],[요일]]))=0,"",IF(AND(Z$7=$E14,$F14=1),중요_시점_표식,"")),"")</f>
        <v/>
      </c>
      <c r="AA14" s="26" t="str">
        <f ca="1">IFERROR(IF(LEN(_xlfn.SINGLE(중요_시점34[[#This Row],[요일]]))=0,"",IF(AND(AA$7=$E14,$F14=1),중요_시점_표식,"")),"")</f>
        <v/>
      </c>
      <c r="AB14" s="26" t="str">
        <f ca="1">IFERROR(IF(LEN(_xlfn.SINGLE(중요_시점34[[#This Row],[요일]]))=0,"",IF(AND(AB$7=$E14,$F14=1),중요_시점_표식,"")),"")</f>
        <v/>
      </c>
      <c r="AC14" s="26" t="str">
        <f ca="1">IFERROR(IF(LEN(_xlfn.SINGLE(중요_시점34[[#This Row],[요일]]))=0,"",IF(AND(AC$7=$E14,$F14=1),중요_시점_표식,"")),"")</f>
        <v/>
      </c>
      <c r="AD14" s="26" t="str">
        <f ca="1">IFERROR(IF(LEN(_xlfn.SINGLE(중요_시점34[[#This Row],[요일]]))=0,"",IF(AND(AD$7=$E14,$F14=1),중요_시점_표식,"")),"")</f>
        <v/>
      </c>
      <c r="AE14" s="26" t="str">
        <f ca="1">IFERROR(IF(LEN(_xlfn.SINGLE(중요_시점34[[#This Row],[요일]]))=0,"",IF(AND(AE$7=$E14,$F14=1),중요_시점_표식,"")),"")</f>
        <v/>
      </c>
      <c r="AF14" s="26" t="str">
        <f ca="1">IFERROR(IF(LEN(_xlfn.SINGLE(중요_시점34[[#This Row],[요일]]))=0,"",IF(AND(AF$7=$E14,$F14=1),중요_시점_표식,"")),"")</f>
        <v/>
      </c>
      <c r="AG14" s="26" t="str">
        <f ca="1">IFERROR(IF(LEN(_xlfn.SINGLE(중요_시점34[[#This Row],[요일]]))=0,"",IF(AND(AG$7=$E14,$F14=1),중요_시점_표식,"")),"")</f>
        <v/>
      </c>
      <c r="AH14" s="26" t="str">
        <f ca="1">IFERROR(IF(LEN(_xlfn.SINGLE(중요_시점34[[#This Row],[요일]]))=0,"",IF(AND(AH$7=$E14,$F14=1),중요_시점_표식,"")),"")</f>
        <v/>
      </c>
      <c r="AI14" s="26" t="str">
        <f ca="1">IFERROR(IF(LEN(_xlfn.SINGLE(중요_시점34[[#This Row],[요일]]))=0,"",IF(AND(AI$7=$E14,$F14=1),중요_시점_표식,"")),"")</f>
        <v/>
      </c>
      <c r="AJ14" s="26" t="str">
        <f ca="1">IFERROR(IF(LEN(_xlfn.SINGLE(중요_시점34[[#This Row],[요일]]))=0,"",IF(AND(AJ$7=$E14,$F14=1),중요_시점_표식,"")),"")</f>
        <v/>
      </c>
      <c r="AK14" s="26" t="str">
        <f ca="1">IFERROR(IF(LEN(_xlfn.SINGLE(중요_시점34[[#This Row],[요일]]))=0,"",IF(AND(AK$7=$E14,$F14=1),중요_시점_표식,"")),"")</f>
        <v/>
      </c>
      <c r="AL14" s="26" t="str">
        <f ca="1">IFERROR(IF(LEN(_xlfn.SINGLE(중요_시점34[[#This Row],[요일]]))=0,"",IF(AND(AL$7=$E14,$F14=1),중요_시점_표식,"")),"")</f>
        <v/>
      </c>
      <c r="AM14" s="26" t="str">
        <f ca="1">IFERROR(IF(LEN(_xlfn.SINGLE(중요_시점34[[#This Row],[요일]]))=0,"",IF(AND(AM$7=$E14,$F14=1),중요_시점_표식,"")),"")</f>
        <v/>
      </c>
      <c r="AN14" s="26" t="str">
        <f ca="1">IFERROR(IF(LEN(_xlfn.SINGLE(중요_시점34[[#This Row],[요일]]))=0,"",IF(AND(AN$7=$E14,$F14=1),중요_시점_표식,"")),"")</f>
        <v/>
      </c>
      <c r="AO14" s="26" t="str">
        <f ca="1">IFERROR(IF(LEN(_xlfn.SINGLE(중요_시점34[[#This Row],[요일]]))=0,"",IF(AND(AO$7=$E14,$F14=1),중요_시점_표식,"")),"")</f>
        <v/>
      </c>
      <c r="AP14" s="26" t="str">
        <f ca="1">IFERROR(IF(LEN(_xlfn.SINGLE(중요_시점34[[#This Row],[요일]]))=0,"",IF(AND(AP$7=$E14,$F14=1),중요_시점_표식,"")),"")</f>
        <v/>
      </c>
      <c r="AQ14" s="26" t="str">
        <f ca="1">IFERROR(IF(LEN(_xlfn.SINGLE(중요_시점34[[#This Row],[요일]]))=0,"",IF(AND(AQ$7=$E14,$F14=1),중요_시점_표식,"")),"")</f>
        <v/>
      </c>
      <c r="AR14" s="26" t="str">
        <f ca="1">IFERROR(IF(LEN(_xlfn.SINGLE(중요_시점34[[#This Row],[요일]]))=0,"",IF(AND(AR$7=$E14,$F14=1),중요_시점_표식,"")),"")</f>
        <v/>
      </c>
      <c r="AS14" s="26" t="str">
        <f ca="1">IFERROR(IF(LEN(_xlfn.SINGLE(중요_시점34[[#This Row],[요일]]))=0,"",IF(AND(AS$7=$E14,$F14=1),중요_시점_표식,"")),"")</f>
        <v/>
      </c>
      <c r="AT14" s="26" t="str">
        <f ca="1">IFERROR(IF(LEN(_xlfn.SINGLE(중요_시점34[[#This Row],[요일]]))=0,"",IF(AND(AT$7=$E14,$F14=1),중요_시점_표식,"")),"")</f>
        <v/>
      </c>
      <c r="AU14" s="26" t="str">
        <f ca="1">IFERROR(IF(LEN(_xlfn.SINGLE(중요_시점34[[#This Row],[요일]]))=0,"",IF(AND(AU$7=$E14,$F14=1),중요_시점_표식,"")),"")</f>
        <v/>
      </c>
      <c r="AV14" s="26" t="str">
        <f ca="1">IFERROR(IF(LEN(_xlfn.SINGLE(중요_시점34[[#This Row],[요일]]))=0,"",IF(AND(AV$7=$E14,$F14=1),중요_시점_표식,"")),"")</f>
        <v/>
      </c>
      <c r="AW14" s="26" t="str">
        <f ca="1">IFERROR(IF(LEN(_xlfn.SINGLE(중요_시점34[[#This Row],[요일]]))=0,"",IF(AND(AW$7=$E14,$F14=1),중요_시점_표식,"")),"")</f>
        <v/>
      </c>
      <c r="AX14" s="26" t="str">
        <f ca="1">IFERROR(IF(LEN(_xlfn.SINGLE(중요_시점34[[#This Row],[요일]]))=0,"",IF(AND(AX$7=$E14,$F14=1),중요_시점_표식,"")),"")</f>
        <v/>
      </c>
      <c r="AY14" s="26" t="str">
        <f ca="1">IFERROR(IF(LEN(_xlfn.SINGLE(중요_시점34[[#This Row],[요일]]))=0,"",IF(AND(AY$7=$E14,$F14=1),중요_시점_표식,"")),"")</f>
        <v/>
      </c>
      <c r="AZ14" s="26" t="str">
        <f ca="1">IFERROR(IF(LEN(_xlfn.SINGLE(중요_시점34[[#This Row],[요일]]))=0,"",IF(AND(AZ$7=$E14,$F14=1),중요_시점_표식,"")),"")</f>
        <v/>
      </c>
      <c r="BA14" s="26" t="str">
        <f ca="1">IFERROR(IF(LEN(_xlfn.SINGLE(중요_시점34[[#This Row],[요일]]))=0,"",IF(AND(BA$7=$E14,$F14=1),중요_시점_표식,"")),"")</f>
        <v/>
      </c>
      <c r="BB14" s="26" t="str">
        <f ca="1">IFERROR(IF(LEN(_xlfn.SINGLE(중요_시점34[[#This Row],[요일]]))=0,"",IF(AND(BB$7=$E14,$F14=1),중요_시점_표식,"")),"")</f>
        <v/>
      </c>
      <c r="BC14" s="26" t="str">
        <f ca="1">IFERROR(IF(LEN(_xlfn.SINGLE(중요_시점34[[#This Row],[요일]]))=0,"",IF(AND(BC$7=$E14,$F14=1),중요_시점_표식,"")),"")</f>
        <v/>
      </c>
      <c r="BD14" s="26" t="str">
        <f ca="1">IFERROR(IF(LEN(_xlfn.SINGLE(중요_시점34[[#This Row],[요일]]))=0,"",IF(AND(BD$7=$E14,$F14=1),중요_시점_표식,"")),"")</f>
        <v/>
      </c>
      <c r="BE14" s="26" t="str">
        <f ca="1">IFERROR(IF(LEN(_xlfn.SINGLE(중요_시점34[[#This Row],[요일]]))=0,"",IF(AND(BE$7=$E14,$F14=1),중요_시점_표식,"")),"")</f>
        <v/>
      </c>
      <c r="BF14" s="26" t="str">
        <f ca="1">IFERROR(IF(LEN(_xlfn.SINGLE(중요_시점34[[#This Row],[요일]]))=0,"",IF(AND(BF$7=$E14,$F14=1),중요_시점_표식,"")),"")</f>
        <v/>
      </c>
      <c r="BG14" s="26" t="str">
        <f ca="1">IFERROR(IF(LEN(_xlfn.SINGLE(중요_시점34[[#This Row],[요일]]))=0,"",IF(AND(BG$7=$E14,$F14=1),중요_시점_표식,"")),"")</f>
        <v/>
      </c>
      <c r="BH14" s="26" t="str">
        <f ca="1">IFERROR(IF(LEN(_xlfn.SINGLE(중요_시점34[[#This Row],[요일]]))=0,"",IF(AND(BH$7=$E14,$F14=1),중요_시점_표식,"")),"")</f>
        <v/>
      </c>
      <c r="BI14" s="26" t="str">
        <f ca="1">IFERROR(IF(LEN(_xlfn.SINGLE(중요_시점34[[#This Row],[요일]]))=0,"",IF(AND(BI$7=$E14,$F14=1),중요_시점_표식,"")),"")</f>
        <v/>
      </c>
      <c r="BJ14" s="26" t="str">
        <f ca="1">IFERROR(IF(LEN(_xlfn.SINGLE(중요_시점34[[#This Row],[요일]]))=0,"",IF(AND(BJ$7=$E14,$F14=1),중요_시점_표식,"")),"")</f>
        <v/>
      </c>
      <c r="BK14" s="26" t="str">
        <f ca="1">IFERROR(IF(LEN(_xlfn.SINGLE(중요_시점34[[#This Row],[요일]]))=0,"",IF(AND(BK$7=$E14,$F14=1),중요_시점_표식,"")),"")</f>
        <v/>
      </c>
    </row>
    <row r="15" spans="1:63" s="1" customFormat="1" ht="30" customHeight="1" outlineLevel="1">
      <c r="A15" s="5"/>
      <c r="B15" s="49" t="s">
        <v>14</v>
      </c>
      <c r="C15" s="13"/>
      <c r="D15" s="82">
        <v>0.1</v>
      </c>
      <c r="E15" s="42">
        <f ca="1">TODAY()+6</f>
        <v>44594</v>
      </c>
      <c r="F15" s="12">
        <v>6</v>
      </c>
      <c r="G15" s="27"/>
      <c r="H15" s="26" t="str">
        <f ca="1">IFERROR(IF(LEN(_xlfn.SINGLE(중요_시점34[[#This Row],[요일]]))=0,"",IF(AND(H$7=$E15,$F15=1),중요_시점_표식,"")),"")</f>
        <v/>
      </c>
      <c r="I15" s="26" t="str">
        <f ca="1">IFERROR(IF(LEN(_xlfn.SINGLE(중요_시점34[[#This Row],[요일]]))=0,"",IF(AND(I$7=$E15,$F15=1),중요_시점_표식,"")),"")</f>
        <v/>
      </c>
      <c r="J15" s="26" t="str">
        <f ca="1">IFERROR(IF(LEN(_xlfn.SINGLE(중요_시점34[[#This Row],[요일]]))=0,"",IF(AND(J$7=$E15,$F15=1),중요_시점_표식,"")),"")</f>
        <v/>
      </c>
      <c r="K15" s="26" t="str">
        <f ca="1">IFERROR(IF(LEN(_xlfn.SINGLE(중요_시점34[[#This Row],[요일]]))=0,"",IF(AND(K$7=$E15,$F15=1),중요_시점_표식,"")),"")</f>
        <v/>
      </c>
      <c r="L15" s="26" t="str">
        <f ca="1">IFERROR(IF(LEN(_xlfn.SINGLE(중요_시점34[[#This Row],[요일]]))=0,"",IF(AND(L$7=$E15,$F15=1),중요_시점_표식,"")),"")</f>
        <v/>
      </c>
      <c r="M15" s="26" t="str">
        <f ca="1">IFERROR(IF(LEN(_xlfn.SINGLE(중요_시점34[[#This Row],[요일]]))=0,"",IF(AND(M$7=$E15,$F15=1),중요_시점_표식,"")),"")</f>
        <v/>
      </c>
      <c r="N15" s="26" t="str">
        <f ca="1">IFERROR(IF(LEN(_xlfn.SINGLE(중요_시점34[[#This Row],[요일]]))=0,"",IF(AND(N$7=$E15,$F15=1),중요_시점_표식,"")),"")</f>
        <v/>
      </c>
      <c r="O15" s="26" t="str">
        <f ca="1">IFERROR(IF(LEN(_xlfn.SINGLE(중요_시점34[[#This Row],[요일]]))=0,"",IF(AND(O$7=$E15,$F15=1),중요_시점_표식,"")),"")</f>
        <v/>
      </c>
      <c r="P15" s="26" t="str">
        <f ca="1">IFERROR(IF(LEN(_xlfn.SINGLE(중요_시점34[[#This Row],[요일]]))=0,"",IF(AND(P$7=$E15,$F15=1),중요_시점_표식,"")),"")</f>
        <v/>
      </c>
      <c r="Q15" s="26" t="str">
        <f ca="1">IFERROR(IF(LEN(_xlfn.SINGLE(중요_시점34[[#This Row],[요일]]))=0,"",IF(AND(Q$7=$E15,$F15=1),중요_시점_표식,"")),"")</f>
        <v/>
      </c>
      <c r="R15" s="26" t="str">
        <f ca="1">IFERROR(IF(LEN(_xlfn.SINGLE(중요_시점34[[#This Row],[요일]]))=0,"",IF(AND(R$7=$E15,$F15=1),중요_시점_표식,"")),"")</f>
        <v/>
      </c>
      <c r="S15" s="26" t="str">
        <f ca="1">IFERROR(IF(LEN(_xlfn.SINGLE(중요_시점34[[#This Row],[요일]]))=0,"",IF(AND(S$7=$E15,$F15=1),중요_시점_표식,"")),"")</f>
        <v/>
      </c>
      <c r="T15" s="26" t="str">
        <f ca="1">IFERROR(IF(LEN(_xlfn.SINGLE(중요_시점34[[#This Row],[요일]]))=0,"",IF(AND(T$7=$E15,$F15=1),중요_시점_표식,"")),"")</f>
        <v/>
      </c>
      <c r="U15" s="26" t="str">
        <f ca="1">IFERROR(IF(LEN(_xlfn.SINGLE(중요_시점34[[#This Row],[요일]]))=0,"",IF(AND(U$7=$E15,$F15=1),중요_시점_표식,"")),"")</f>
        <v/>
      </c>
      <c r="V15" s="26" t="str">
        <f ca="1">IFERROR(IF(LEN(_xlfn.SINGLE(중요_시점34[[#This Row],[요일]]))=0,"",IF(AND(V$7=$E15,$F15=1),중요_시점_표식,"")),"")</f>
        <v/>
      </c>
      <c r="W15" s="26" t="str">
        <f ca="1">IFERROR(IF(LEN(_xlfn.SINGLE(중요_시점34[[#This Row],[요일]]))=0,"",IF(AND(W$7=$E15,$F15=1),중요_시점_표식,"")),"")</f>
        <v/>
      </c>
      <c r="X15" s="26" t="str">
        <f ca="1">IFERROR(IF(LEN(_xlfn.SINGLE(중요_시점34[[#This Row],[요일]]))=0,"",IF(AND(X$7=$E15,$F15=1),중요_시점_표식,"")),"")</f>
        <v/>
      </c>
      <c r="Y15" s="26" t="str">
        <f ca="1">IFERROR(IF(LEN(_xlfn.SINGLE(중요_시점34[[#This Row],[요일]]))=0,"",IF(AND(Y$7=$E15,$F15=1),중요_시점_표식,"")),"")</f>
        <v/>
      </c>
      <c r="Z15" s="26" t="str">
        <f ca="1">IFERROR(IF(LEN(_xlfn.SINGLE(중요_시점34[[#This Row],[요일]]))=0,"",IF(AND(Z$7=$E15,$F15=1),중요_시점_표식,"")),"")</f>
        <v/>
      </c>
      <c r="AA15" s="26" t="str">
        <f ca="1">IFERROR(IF(LEN(_xlfn.SINGLE(중요_시점34[[#This Row],[요일]]))=0,"",IF(AND(AA$7=$E15,$F15=1),중요_시점_표식,"")),"")</f>
        <v/>
      </c>
      <c r="AB15" s="26" t="str">
        <f ca="1">IFERROR(IF(LEN(_xlfn.SINGLE(중요_시점34[[#This Row],[요일]]))=0,"",IF(AND(AB$7=$E15,$F15=1),중요_시점_표식,"")),"")</f>
        <v/>
      </c>
      <c r="AC15" s="26" t="str">
        <f ca="1">IFERROR(IF(LEN(_xlfn.SINGLE(중요_시점34[[#This Row],[요일]]))=0,"",IF(AND(AC$7=$E15,$F15=1),중요_시점_표식,"")),"")</f>
        <v/>
      </c>
      <c r="AD15" s="26" t="str">
        <f ca="1">IFERROR(IF(LEN(_xlfn.SINGLE(중요_시점34[[#This Row],[요일]]))=0,"",IF(AND(AD$7=$E15,$F15=1),중요_시점_표식,"")),"")</f>
        <v/>
      </c>
      <c r="AE15" s="26" t="str">
        <f ca="1">IFERROR(IF(LEN(_xlfn.SINGLE(중요_시점34[[#This Row],[요일]]))=0,"",IF(AND(AE$7=$E15,$F15=1),중요_시점_표식,"")),"")</f>
        <v/>
      </c>
      <c r="AF15" s="26" t="str">
        <f ca="1">IFERROR(IF(LEN(_xlfn.SINGLE(중요_시점34[[#This Row],[요일]]))=0,"",IF(AND(AF$7=$E15,$F15=1),중요_시점_표식,"")),"")</f>
        <v/>
      </c>
      <c r="AG15" s="26" t="str">
        <f ca="1">IFERROR(IF(LEN(_xlfn.SINGLE(중요_시점34[[#This Row],[요일]]))=0,"",IF(AND(AG$7=$E15,$F15=1),중요_시점_표식,"")),"")</f>
        <v/>
      </c>
      <c r="AH15" s="26" t="str">
        <f ca="1">IFERROR(IF(LEN(_xlfn.SINGLE(중요_시점34[[#This Row],[요일]]))=0,"",IF(AND(AH$7=$E15,$F15=1),중요_시점_표식,"")),"")</f>
        <v/>
      </c>
      <c r="AI15" s="26" t="str">
        <f ca="1">IFERROR(IF(LEN(_xlfn.SINGLE(중요_시점34[[#This Row],[요일]]))=0,"",IF(AND(AI$7=$E15,$F15=1),중요_시점_표식,"")),"")</f>
        <v/>
      </c>
      <c r="AJ15" s="26" t="str">
        <f ca="1">IFERROR(IF(LEN(_xlfn.SINGLE(중요_시점34[[#This Row],[요일]]))=0,"",IF(AND(AJ$7=$E15,$F15=1),중요_시점_표식,"")),"")</f>
        <v/>
      </c>
      <c r="AK15" s="26" t="str">
        <f ca="1">IFERROR(IF(LEN(_xlfn.SINGLE(중요_시점34[[#This Row],[요일]]))=0,"",IF(AND(AK$7=$E15,$F15=1),중요_시점_표식,"")),"")</f>
        <v/>
      </c>
      <c r="AL15" s="26" t="str">
        <f ca="1">IFERROR(IF(LEN(_xlfn.SINGLE(중요_시점34[[#This Row],[요일]]))=0,"",IF(AND(AL$7=$E15,$F15=1),중요_시점_표식,"")),"")</f>
        <v/>
      </c>
      <c r="AM15" s="26" t="str">
        <f ca="1">IFERROR(IF(LEN(_xlfn.SINGLE(중요_시점34[[#This Row],[요일]]))=0,"",IF(AND(AM$7=$E15,$F15=1),중요_시점_표식,"")),"")</f>
        <v/>
      </c>
      <c r="AN15" s="26" t="str">
        <f ca="1">IFERROR(IF(LEN(_xlfn.SINGLE(중요_시점34[[#This Row],[요일]]))=0,"",IF(AND(AN$7=$E15,$F15=1),중요_시점_표식,"")),"")</f>
        <v/>
      </c>
      <c r="AO15" s="26" t="str">
        <f ca="1">IFERROR(IF(LEN(_xlfn.SINGLE(중요_시점34[[#This Row],[요일]]))=0,"",IF(AND(AO$7=$E15,$F15=1),중요_시점_표식,"")),"")</f>
        <v/>
      </c>
      <c r="AP15" s="26" t="str">
        <f ca="1">IFERROR(IF(LEN(_xlfn.SINGLE(중요_시점34[[#This Row],[요일]]))=0,"",IF(AND(AP$7=$E15,$F15=1),중요_시점_표식,"")),"")</f>
        <v/>
      </c>
      <c r="AQ15" s="26" t="str">
        <f ca="1">IFERROR(IF(LEN(_xlfn.SINGLE(중요_시점34[[#This Row],[요일]]))=0,"",IF(AND(AQ$7=$E15,$F15=1),중요_시점_표식,"")),"")</f>
        <v/>
      </c>
      <c r="AR15" s="26" t="str">
        <f ca="1">IFERROR(IF(LEN(_xlfn.SINGLE(중요_시점34[[#This Row],[요일]]))=0,"",IF(AND(AR$7=$E15,$F15=1),중요_시점_표식,"")),"")</f>
        <v/>
      </c>
      <c r="AS15" s="26" t="str">
        <f ca="1">IFERROR(IF(LEN(_xlfn.SINGLE(중요_시점34[[#This Row],[요일]]))=0,"",IF(AND(AS$7=$E15,$F15=1),중요_시점_표식,"")),"")</f>
        <v/>
      </c>
      <c r="AT15" s="26" t="str">
        <f ca="1">IFERROR(IF(LEN(_xlfn.SINGLE(중요_시점34[[#This Row],[요일]]))=0,"",IF(AND(AT$7=$E15,$F15=1),중요_시점_표식,"")),"")</f>
        <v/>
      </c>
      <c r="AU15" s="26" t="str">
        <f ca="1">IFERROR(IF(LEN(_xlfn.SINGLE(중요_시점34[[#This Row],[요일]]))=0,"",IF(AND(AU$7=$E15,$F15=1),중요_시점_표식,"")),"")</f>
        <v/>
      </c>
      <c r="AV15" s="26" t="str">
        <f ca="1">IFERROR(IF(LEN(_xlfn.SINGLE(중요_시점34[[#This Row],[요일]]))=0,"",IF(AND(AV$7=$E15,$F15=1),중요_시점_표식,"")),"")</f>
        <v/>
      </c>
      <c r="AW15" s="26" t="str">
        <f ca="1">IFERROR(IF(LEN(_xlfn.SINGLE(중요_시점34[[#This Row],[요일]]))=0,"",IF(AND(AW$7=$E15,$F15=1),중요_시점_표식,"")),"")</f>
        <v/>
      </c>
      <c r="AX15" s="26" t="str">
        <f ca="1">IFERROR(IF(LEN(_xlfn.SINGLE(중요_시점34[[#This Row],[요일]]))=0,"",IF(AND(AX$7=$E15,$F15=1),중요_시점_표식,"")),"")</f>
        <v/>
      </c>
      <c r="AY15" s="26" t="str">
        <f ca="1">IFERROR(IF(LEN(_xlfn.SINGLE(중요_시점34[[#This Row],[요일]]))=0,"",IF(AND(AY$7=$E15,$F15=1),중요_시점_표식,"")),"")</f>
        <v/>
      </c>
      <c r="AZ15" s="26" t="str">
        <f ca="1">IFERROR(IF(LEN(_xlfn.SINGLE(중요_시점34[[#This Row],[요일]]))=0,"",IF(AND(AZ$7=$E15,$F15=1),중요_시점_표식,"")),"")</f>
        <v/>
      </c>
      <c r="BA15" s="26" t="str">
        <f ca="1">IFERROR(IF(LEN(_xlfn.SINGLE(중요_시점34[[#This Row],[요일]]))=0,"",IF(AND(BA$7=$E15,$F15=1),중요_시점_표식,"")),"")</f>
        <v/>
      </c>
      <c r="BB15" s="26" t="str">
        <f ca="1">IFERROR(IF(LEN(_xlfn.SINGLE(중요_시점34[[#This Row],[요일]]))=0,"",IF(AND(BB$7=$E15,$F15=1),중요_시점_표식,"")),"")</f>
        <v/>
      </c>
      <c r="BC15" s="26" t="str">
        <f ca="1">IFERROR(IF(LEN(_xlfn.SINGLE(중요_시점34[[#This Row],[요일]]))=0,"",IF(AND(BC$7=$E15,$F15=1),중요_시점_표식,"")),"")</f>
        <v/>
      </c>
      <c r="BD15" s="26" t="str">
        <f ca="1">IFERROR(IF(LEN(_xlfn.SINGLE(중요_시점34[[#This Row],[요일]]))=0,"",IF(AND(BD$7=$E15,$F15=1),중요_시점_표식,"")),"")</f>
        <v/>
      </c>
      <c r="BE15" s="26" t="str">
        <f ca="1">IFERROR(IF(LEN(_xlfn.SINGLE(중요_시점34[[#This Row],[요일]]))=0,"",IF(AND(BE$7=$E15,$F15=1),중요_시점_표식,"")),"")</f>
        <v/>
      </c>
      <c r="BF15" s="26" t="str">
        <f ca="1">IFERROR(IF(LEN(_xlfn.SINGLE(중요_시점34[[#This Row],[요일]]))=0,"",IF(AND(BF$7=$E15,$F15=1),중요_시점_표식,"")),"")</f>
        <v/>
      </c>
      <c r="BG15" s="26" t="str">
        <f ca="1">IFERROR(IF(LEN(_xlfn.SINGLE(중요_시점34[[#This Row],[요일]]))=0,"",IF(AND(BG$7=$E15,$F15=1),중요_시점_표식,"")),"")</f>
        <v/>
      </c>
      <c r="BH15" s="26" t="str">
        <f ca="1">IFERROR(IF(LEN(_xlfn.SINGLE(중요_시점34[[#This Row],[요일]]))=0,"",IF(AND(BH$7=$E15,$F15=1),중요_시점_표식,"")),"")</f>
        <v/>
      </c>
      <c r="BI15" s="26" t="str">
        <f ca="1">IFERROR(IF(LEN(_xlfn.SINGLE(중요_시점34[[#This Row],[요일]]))=0,"",IF(AND(BI$7=$E15,$F15=1),중요_시점_표식,"")),"")</f>
        <v/>
      </c>
      <c r="BJ15" s="26" t="str">
        <f ca="1">IFERROR(IF(LEN(_xlfn.SINGLE(중요_시점34[[#This Row],[요일]]))=0,"",IF(AND(BJ$7=$E15,$F15=1),중요_시점_표식,"")),"")</f>
        <v/>
      </c>
      <c r="BK15" s="26" t="str">
        <f ca="1">IFERROR(IF(LEN(_xlfn.SINGLE(중요_시점34[[#This Row],[요일]]))=0,"",IF(AND(BK$7=$E15,$F15=1),중요_시점_표식,"")),"")</f>
        <v/>
      </c>
    </row>
    <row r="16" spans="1:63" s="1" customFormat="1" ht="30" customHeight="1">
      <c r="A16" s="6"/>
      <c r="B16" s="40" t="s">
        <v>15</v>
      </c>
      <c r="C16" s="13"/>
      <c r="D16" s="82"/>
      <c r="E16" s="42"/>
      <c r="F16" s="12"/>
      <c r="G16" s="27"/>
      <c r="H16" s="26" t="str">
        <f>IFERROR(IF(LEN(_xlfn.SINGLE(중요_시점34[[#This Row],[요일]]))=0,"",IF(AND(H$7=$E16,$F16=1),중요_시점_표식,"")),"")</f>
        <v/>
      </c>
      <c r="I16" s="26" t="str">
        <f>IFERROR(IF(LEN(_xlfn.SINGLE(중요_시점34[[#This Row],[요일]]))=0,"",IF(AND(I$7=$E16,$F16=1),중요_시점_표식,"")),"")</f>
        <v/>
      </c>
      <c r="J16" s="26" t="str">
        <f>IFERROR(IF(LEN(_xlfn.SINGLE(중요_시점34[[#This Row],[요일]]))=0,"",IF(AND(J$7=$E16,$F16=1),중요_시점_표식,"")),"")</f>
        <v/>
      </c>
      <c r="K16" s="26" t="str">
        <f>IFERROR(IF(LEN(_xlfn.SINGLE(중요_시점34[[#This Row],[요일]]))=0,"",IF(AND(K$7=$E16,$F16=1),중요_시점_표식,"")),"")</f>
        <v/>
      </c>
      <c r="L16" s="26" t="str">
        <f>IFERROR(IF(LEN(_xlfn.SINGLE(중요_시점34[[#This Row],[요일]]))=0,"",IF(AND(L$7=$E16,$F16=1),중요_시점_표식,"")),"")</f>
        <v/>
      </c>
      <c r="M16" s="26" t="str">
        <f>IFERROR(IF(LEN(_xlfn.SINGLE(중요_시점34[[#This Row],[요일]]))=0,"",IF(AND(M$7=$E16,$F16=1),중요_시점_표식,"")),"")</f>
        <v/>
      </c>
      <c r="N16" s="26" t="str">
        <f>IFERROR(IF(LEN(_xlfn.SINGLE(중요_시점34[[#This Row],[요일]]))=0,"",IF(AND(N$7=$E16,$F16=1),중요_시점_표식,"")),"")</f>
        <v/>
      </c>
      <c r="O16" s="26" t="str">
        <f>IFERROR(IF(LEN(_xlfn.SINGLE(중요_시점34[[#This Row],[요일]]))=0,"",IF(AND(O$7=$E16,$F16=1),중요_시점_표식,"")),"")</f>
        <v/>
      </c>
      <c r="P16" s="26" t="str">
        <f>IFERROR(IF(LEN(_xlfn.SINGLE(중요_시점34[[#This Row],[요일]]))=0,"",IF(AND(P$7=$E16,$F16=1),중요_시점_표식,"")),"")</f>
        <v/>
      </c>
      <c r="Q16" s="26" t="str">
        <f>IFERROR(IF(LEN(_xlfn.SINGLE(중요_시점34[[#This Row],[요일]]))=0,"",IF(AND(Q$7=$E16,$F16=1),중요_시점_표식,"")),"")</f>
        <v/>
      </c>
      <c r="R16" s="26" t="str">
        <f>IFERROR(IF(LEN(_xlfn.SINGLE(중요_시점34[[#This Row],[요일]]))=0,"",IF(AND(R$7=$E16,$F16=1),중요_시점_표식,"")),"")</f>
        <v/>
      </c>
      <c r="S16" s="26" t="str">
        <f>IFERROR(IF(LEN(_xlfn.SINGLE(중요_시점34[[#This Row],[요일]]))=0,"",IF(AND(S$7=$E16,$F16=1),중요_시점_표식,"")),"")</f>
        <v/>
      </c>
      <c r="T16" s="26" t="str">
        <f>IFERROR(IF(LEN(_xlfn.SINGLE(중요_시점34[[#This Row],[요일]]))=0,"",IF(AND(T$7=$E16,$F16=1),중요_시점_표식,"")),"")</f>
        <v/>
      </c>
      <c r="U16" s="26" t="str">
        <f>IFERROR(IF(LEN(_xlfn.SINGLE(중요_시점34[[#This Row],[요일]]))=0,"",IF(AND(U$7=$E16,$F16=1),중요_시점_표식,"")),"")</f>
        <v/>
      </c>
      <c r="V16" s="26" t="str">
        <f>IFERROR(IF(LEN(_xlfn.SINGLE(중요_시점34[[#This Row],[요일]]))=0,"",IF(AND(V$7=$E16,$F16=1),중요_시점_표식,"")),"")</f>
        <v/>
      </c>
      <c r="W16" s="26" t="str">
        <f>IFERROR(IF(LEN(_xlfn.SINGLE(중요_시점34[[#This Row],[요일]]))=0,"",IF(AND(W$7=$E16,$F16=1),중요_시점_표식,"")),"")</f>
        <v/>
      </c>
      <c r="X16" s="26" t="str">
        <f>IFERROR(IF(LEN(_xlfn.SINGLE(중요_시점34[[#This Row],[요일]]))=0,"",IF(AND(X$7=$E16,$F16=1),중요_시점_표식,"")),"")</f>
        <v/>
      </c>
      <c r="Y16" s="26" t="str">
        <f>IFERROR(IF(LEN(_xlfn.SINGLE(중요_시점34[[#This Row],[요일]]))=0,"",IF(AND(Y$7=$E16,$F16=1),중요_시점_표식,"")),"")</f>
        <v/>
      </c>
      <c r="Z16" s="26" t="str">
        <f>IFERROR(IF(LEN(_xlfn.SINGLE(중요_시점34[[#This Row],[요일]]))=0,"",IF(AND(Z$7=$E16,$F16=1),중요_시점_표식,"")),"")</f>
        <v/>
      </c>
      <c r="AA16" s="26" t="str">
        <f>IFERROR(IF(LEN(_xlfn.SINGLE(중요_시점34[[#This Row],[요일]]))=0,"",IF(AND(AA$7=$E16,$F16=1),중요_시점_표식,"")),"")</f>
        <v/>
      </c>
      <c r="AB16" s="26" t="str">
        <f>IFERROR(IF(LEN(_xlfn.SINGLE(중요_시점34[[#This Row],[요일]]))=0,"",IF(AND(AB$7=$E16,$F16=1),중요_시점_표식,"")),"")</f>
        <v/>
      </c>
      <c r="AC16" s="26" t="str">
        <f>IFERROR(IF(LEN(_xlfn.SINGLE(중요_시점34[[#This Row],[요일]]))=0,"",IF(AND(AC$7=$E16,$F16=1),중요_시점_표식,"")),"")</f>
        <v/>
      </c>
      <c r="AD16" s="26" t="str">
        <f>IFERROR(IF(LEN(_xlfn.SINGLE(중요_시점34[[#This Row],[요일]]))=0,"",IF(AND(AD$7=$E16,$F16=1),중요_시점_표식,"")),"")</f>
        <v/>
      </c>
      <c r="AE16" s="26" t="str">
        <f>IFERROR(IF(LEN(_xlfn.SINGLE(중요_시점34[[#This Row],[요일]]))=0,"",IF(AND(AE$7=$E16,$F16=1),중요_시점_표식,"")),"")</f>
        <v/>
      </c>
      <c r="AF16" s="26" t="str">
        <f>IFERROR(IF(LEN(_xlfn.SINGLE(중요_시점34[[#This Row],[요일]]))=0,"",IF(AND(AF$7=$E16,$F16=1),중요_시점_표식,"")),"")</f>
        <v/>
      </c>
      <c r="AG16" s="26" t="str">
        <f>IFERROR(IF(LEN(_xlfn.SINGLE(중요_시점34[[#This Row],[요일]]))=0,"",IF(AND(AG$7=$E16,$F16=1),중요_시점_표식,"")),"")</f>
        <v/>
      </c>
      <c r="AH16" s="26" t="str">
        <f>IFERROR(IF(LEN(_xlfn.SINGLE(중요_시점34[[#This Row],[요일]]))=0,"",IF(AND(AH$7=$E16,$F16=1),중요_시점_표식,"")),"")</f>
        <v/>
      </c>
      <c r="AI16" s="26" t="str">
        <f>IFERROR(IF(LEN(_xlfn.SINGLE(중요_시점34[[#This Row],[요일]]))=0,"",IF(AND(AI$7=$E16,$F16=1),중요_시점_표식,"")),"")</f>
        <v/>
      </c>
      <c r="AJ16" s="26" t="str">
        <f>IFERROR(IF(LEN(_xlfn.SINGLE(중요_시점34[[#This Row],[요일]]))=0,"",IF(AND(AJ$7=$E16,$F16=1),중요_시점_표식,"")),"")</f>
        <v/>
      </c>
      <c r="AK16" s="26" t="str">
        <f>IFERROR(IF(LEN(_xlfn.SINGLE(중요_시점34[[#This Row],[요일]]))=0,"",IF(AND(AK$7=$E16,$F16=1),중요_시점_표식,"")),"")</f>
        <v/>
      </c>
      <c r="AL16" s="26" t="str">
        <f>IFERROR(IF(LEN(_xlfn.SINGLE(중요_시점34[[#This Row],[요일]]))=0,"",IF(AND(AL$7=$E16,$F16=1),중요_시점_표식,"")),"")</f>
        <v/>
      </c>
      <c r="AM16" s="26" t="str">
        <f>IFERROR(IF(LEN(_xlfn.SINGLE(중요_시점34[[#This Row],[요일]]))=0,"",IF(AND(AM$7=$E16,$F16=1),중요_시점_표식,"")),"")</f>
        <v/>
      </c>
      <c r="AN16" s="26" t="str">
        <f>IFERROR(IF(LEN(_xlfn.SINGLE(중요_시점34[[#This Row],[요일]]))=0,"",IF(AND(AN$7=$E16,$F16=1),중요_시점_표식,"")),"")</f>
        <v/>
      </c>
      <c r="AO16" s="26" t="str">
        <f>IFERROR(IF(LEN(_xlfn.SINGLE(중요_시점34[[#This Row],[요일]]))=0,"",IF(AND(AO$7=$E16,$F16=1),중요_시점_표식,"")),"")</f>
        <v/>
      </c>
      <c r="AP16" s="26" t="str">
        <f>IFERROR(IF(LEN(_xlfn.SINGLE(중요_시점34[[#This Row],[요일]]))=0,"",IF(AND(AP$7=$E16,$F16=1),중요_시점_표식,"")),"")</f>
        <v/>
      </c>
      <c r="AQ16" s="26" t="str">
        <f>IFERROR(IF(LEN(_xlfn.SINGLE(중요_시점34[[#This Row],[요일]]))=0,"",IF(AND(AQ$7=$E16,$F16=1),중요_시점_표식,"")),"")</f>
        <v/>
      </c>
      <c r="AR16" s="26" t="str">
        <f>IFERROR(IF(LEN(_xlfn.SINGLE(중요_시점34[[#This Row],[요일]]))=0,"",IF(AND(AR$7=$E16,$F16=1),중요_시점_표식,"")),"")</f>
        <v/>
      </c>
      <c r="AS16" s="26" t="str">
        <f>IFERROR(IF(LEN(_xlfn.SINGLE(중요_시점34[[#This Row],[요일]]))=0,"",IF(AND(AS$7=$E16,$F16=1),중요_시점_표식,"")),"")</f>
        <v/>
      </c>
      <c r="AT16" s="26" t="str">
        <f>IFERROR(IF(LEN(_xlfn.SINGLE(중요_시점34[[#This Row],[요일]]))=0,"",IF(AND(AT$7=$E16,$F16=1),중요_시점_표식,"")),"")</f>
        <v/>
      </c>
      <c r="AU16" s="26" t="str">
        <f>IFERROR(IF(LEN(_xlfn.SINGLE(중요_시점34[[#This Row],[요일]]))=0,"",IF(AND(AU$7=$E16,$F16=1),중요_시점_표식,"")),"")</f>
        <v/>
      </c>
      <c r="AV16" s="26" t="str">
        <f>IFERROR(IF(LEN(_xlfn.SINGLE(중요_시점34[[#This Row],[요일]]))=0,"",IF(AND(AV$7=$E16,$F16=1),중요_시점_표식,"")),"")</f>
        <v/>
      </c>
      <c r="AW16" s="26" t="str">
        <f>IFERROR(IF(LEN(_xlfn.SINGLE(중요_시점34[[#This Row],[요일]]))=0,"",IF(AND(AW$7=$E16,$F16=1),중요_시점_표식,"")),"")</f>
        <v/>
      </c>
      <c r="AX16" s="26" t="str">
        <f>IFERROR(IF(LEN(_xlfn.SINGLE(중요_시점34[[#This Row],[요일]]))=0,"",IF(AND(AX$7=$E16,$F16=1),중요_시점_표식,"")),"")</f>
        <v/>
      </c>
      <c r="AY16" s="26" t="str">
        <f>IFERROR(IF(LEN(_xlfn.SINGLE(중요_시점34[[#This Row],[요일]]))=0,"",IF(AND(AY$7=$E16,$F16=1),중요_시점_표식,"")),"")</f>
        <v/>
      </c>
      <c r="AZ16" s="26" t="str">
        <f>IFERROR(IF(LEN(_xlfn.SINGLE(중요_시점34[[#This Row],[요일]]))=0,"",IF(AND(AZ$7=$E16,$F16=1),중요_시점_표식,"")),"")</f>
        <v/>
      </c>
      <c r="BA16" s="26" t="str">
        <f>IFERROR(IF(LEN(_xlfn.SINGLE(중요_시점34[[#This Row],[요일]]))=0,"",IF(AND(BA$7=$E16,$F16=1),중요_시점_표식,"")),"")</f>
        <v/>
      </c>
      <c r="BB16" s="26" t="str">
        <f>IFERROR(IF(LEN(_xlfn.SINGLE(중요_시점34[[#This Row],[요일]]))=0,"",IF(AND(BB$7=$E16,$F16=1),중요_시점_표식,"")),"")</f>
        <v/>
      </c>
      <c r="BC16" s="26" t="str">
        <f>IFERROR(IF(LEN(_xlfn.SINGLE(중요_시점34[[#This Row],[요일]]))=0,"",IF(AND(BC$7=$E16,$F16=1),중요_시점_표식,"")),"")</f>
        <v/>
      </c>
      <c r="BD16" s="26" t="str">
        <f>IFERROR(IF(LEN(_xlfn.SINGLE(중요_시점34[[#This Row],[요일]]))=0,"",IF(AND(BD$7=$E16,$F16=1),중요_시점_표식,"")),"")</f>
        <v/>
      </c>
      <c r="BE16" s="26" t="str">
        <f>IFERROR(IF(LEN(_xlfn.SINGLE(중요_시점34[[#This Row],[요일]]))=0,"",IF(AND(BE$7=$E16,$F16=1),중요_시점_표식,"")),"")</f>
        <v/>
      </c>
      <c r="BF16" s="26" t="str">
        <f>IFERROR(IF(LEN(_xlfn.SINGLE(중요_시점34[[#This Row],[요일]]))=0,"",IF(AND(BF$7=$E16,$F16=1),중요_시점_표식,"")),"")</f>
        <v/>
      </c>
      <c r="BG16" s="26" t="str">
        <f>IFERROR(IF(LEN(_xlfn.SINGLE(중요_시점34[[#This Row],[요일]]))=0,"",IF(AND(BG$7=$E16,$F16=1),중요_시점_표식,"")),"")</f>
        <v/>
      </c>
      <c r="BH16" s="26" t="str">
        <f>IFERROR(IF(LEN(_xlfn.SINGLE(중요_시점34[[#This Row],[요일]]))=0,"",IF(AND(BH$7=$E16,$F16=1),중요_시점_표식,"")),"")</f>
        <v/>
      </c>
      <c r="BI16" s="26" t="str">
        <f>IFERROR(IF(LEN(_xlfn.SINGLE(중요_시점34[[#This Row],[요일]]))=0,"",IF(AND(BI$7=$E16,$F16=1),중요_시점_표식,"")),"")</f>
        <v/>
      </c>
      <c r="BJ16" s="26" t="str">
        <f>IFERROR(IF(LEN(_xlfn.SINGLE(중요_시점34[[#This Row],[요일]]))=0,"",IF(AND(BJ$7=$E16,$F16=1),중요_시점_표식,"")),"")</f>
        <v/>
      </c>
      <c r="BK16" s="26" t="str">
        <f>IFERROR(IF(LEN(_xlfn.SINGLE(중요_시점34[[#This Row],[요일]]))=0,"",IF(AND(BK$7=$E16,$F16=1),중요_시점_표식,"")),"")</f>
        <v/>
      </c>
    </row>
    <row r="17" spans="1:63" s="1" customFormat="1" ht="30" customHeight="1" outlineLevel="1">
      <c r="A17" s="6"/>
      <c r="B17" s="49" t="s">
        <v>10</v>
      </c>
      <c r="C17" s="13"/>
      <c r="D17" s="82">
        <v>0.6</v>
      </c>
      <c r="E17" s="42">
        <f ca="1">TODAY()+6</f>
        <v>44594</v>
      </c>
      <c r="F17" s="12">
        <v>13</v>
      </c>
      <c r="G17" s="27"/>
      <c r="H17" s="26" t="str">
        <f ca="1">IFERROR(IF(LEN(_xlfn.SINGLE(중요_시점34[[#This Row],[요일]]))=0,"",IF(AND(H$7=$E17,$F17=1),중요_시점_표식,"")),"")</f>
        <v/>
      </c>
      <c r="I17" s="26" t="str">
        <f ca="1">IFERROR(IF(LEN(_xlfn.SINGLE(중요_시점34[[#This Row],[요일]]))=0,"",IF(AND(I$7=$E17,$F17=1),중요_시점_표식,"")),"")</f>
        <v/>
      </c>
      <c r="J17" s="26" t="str">
        <f ca="1">IFERROR(IF(LEN(_xlfn.SINGLE(중요_시점34[[#This Row],[요일]]))=0,"",IF(AND(J$7=$E17,$F17=1),중요_시점_표식,"")),"")</f>
        <v/>
      </c>
      <c r="K17" s="26" t="str">
        <f ca="1">IFERROR(IF(LEN(_xlfn.SINGLE(중요_시점34[[#This Row],[요일]]))=0,"",IF(AND(K$7=$E17,$F17=1),중요_시점_표식,"")),"")</f>
        <v/>
      </c>
      <c r="L17" s="26" t="str">
        <f ca="1">IFERROR(IF(LEN(_xlfn.SINGLE(중요_시점34[[#This Row],[요일]]))=0,"",IF(AND(L$7=$E17,$F17=1),중요_시점_표식,"")),"")</f>
        <v/>
      </c>
      <c r="M17" s="26" t="str">
        <f ca="1">IFERROR(IF(LEN(_xlfn.SINGLE(중요_시점34[[#This Row],[요일]]))=0,"",IF(AND(M$7=$E17,$F17=1),중요_시점_표식,"")),"")</f>
        <v/>
      </c>
      <c r="N17" s="26" t="str">
        <f ca="1">IFERROR(IF(LEN(_xlfn.SINGLE(중요_시점34[[#This Row],[요일]]))=0,"",IF(AND(N$7=$E17,$F17=1),중요_시점_표식,"")),"")</f>
        <v/>
      </c>
      <c r="O17" s="26" t="str">
        <f ca="1">IFERROR(IF(LEN(_xlfn.SINGLE(중요_시점34[[#This Row],[요일]]))=0,"",IF(AND(O$7=$E17,$F17=1),중요_시점_표식,"")),"")</f>
        <v/>
      </c>
      <c r="P17" s="26" t="str">
        <f ca="1">IFERROR(IF(LEN(_xlfn.SINGLE(중요_시점34[[#This Row],[요일]]))=0,"",IF(AND(P$7=$E17,$F17=1),중요_시점_표식,"")),"")</f>
        <v/>
      </c>
      <c r="Q17" s="26" t="str">
        <f ca="1">IFERROR(IF(LEN(_xlfn.SINGLE(중요_시점34[[#This Row],[요일]]))=0,"",IF(AND(Q$7=$E17,$F17=1),중요_시점_표식,"")),"")</f>
        <v/>
      </c>
      <c r="R17" s="26" t="str">
        <f ca="1">IFERROR(IF(LEN(_xlfn.SINGLE(중요_시점34[[#This Row],[요일]]))=0,"",IF(AND(R$7=$E17,$F17=1),중요_시점_표식,"")),"")</f>
        <v/>
      </c>
      <c r="S17" s="26" t="str">
        <f ca="1">IFERROR(IF(LEN(_xlfn.SINGLE(중요_시점34[[#This Row],[요일]]))=0,"",IF(AND(S$7=$E17,$F17=1),중요_시점_표식,"")),"")</f>
        <v/>
      </c>
      <c r="T17" s="26" t="str">
        <f ca="1">IFERROR(IF(LEN(_xlfn.SINGLE(중요_시점34[[#This Row],[요일]]))=0,"",IF(AND(T$7=$E17,$F17=1),중요_시점_표식,"")),"")</f>
        <v/>
      </c>
      <c r="U17" s="26" t="str">
        <f ca="1">IFERROR(IF(LEN(_xlfn.SINGLE(중요_시점34[[#This Row],[요일]]))=0,"",IF(AND(U$7=$E17,$F17=1),중요_시점_표식,"")),"")</f>
        <v/>
      </c>
      <c r="V17" s="26" t="str">
        <f ca="1">IFERROR(IF(LEN(_xlfn.SINGLE(중요_시점34[[#This Row],[요일]]))=0,"",IF(AND(V$7=$E17,$F17=1),중요_시점_표식,"")),"")</f>
        <v/>
      </c>
      <c r="W17" s="26" t="str">
        <f ca="1">IFERROR(IF(LEN(_xlfn.SINGLE(중요_시점34[[#This Row],[요일]]))=0,"",IF(AND(W$7=$E17,$F17=1),중요_시점_표식,"")),"")</f>
        <v/>
      </c>
      <c r="X17" s="26" t="str">
        <f ca="1">IFERROR(IF(LEN(_xlfn.SINGLE(중요_시점34[[#This Row],[요일]]))=0,"",IF(AND(X$7=$E17,$F17=1),중요_시점_표식,"")),"")</f>
        <v/>
      </c>
      <c r="Y17" s="26" t="str">
        <f ca="1">IFERROR(IF(LEN(_xlfn.SINGLE(중요_시점34[[#This Row],[요일]]))=0,"",IF(AND(Y$7=$E17,$F17=1),중요_시점_표식,"")),"")</f>
        <v/>
      </c>
      <c r="Z17" s="26" t="str">
        <f ca="1">IFERROR(IF(LEN(_xlfn.SINGLE(중요_시점34[[#This Row],[요일]]))=0,"",IF(AND(Z$7=$E17,$F17=1),중요_시점_표식,"")),"")</f>
        <v/>
      </c>
      <c r="AA17" s="26" t="str">
        <f ca="1">IFERROR(IF(LEN(_xlfn.SINGLE(중요_시점34[[#This Row],[요일]]))=0,"",IF(AND(AA$7=$E17,$F17=1),중요_시점_표식,"")),"")</f>
        <v/>
      </c>
      <c r="AB17" s="26" t="str">
        <f ca="1">IFERROR(IF(LEN(_xlfn.SINGLE(중요_시점34[[#This Row],[요일]]))=0,"",IF(AND(AB$7=$E17,$F17=1),중요_시점_표식,"")),"")</f>
        <v/>
      </c>
      <c r="AC17" s="26" t="str">
        <f ca="1">IFERROR(IF(LEN(_xlfn.SINGLE(중요_시점34[[#This Row],[요일]]))=0,"",IF(AND(AC$7=$E17,$F17=1),중요_시점_표식,"")),"")</f>
        <v/>
      </c>
      <c r="AD17" s="26" t="str">
        <f ca="1">IFERROR(IF(LEN(_xlfn.SINGLE(중요_시점34[[#This Row],[요일]]))=0,"",IF(AND(AD$7=$E17,$F17=1),중요_시점_표식,"")),"")</f>
        <v/>
      </c>
      <c r="AE17" s="26" t="str">
        <f ca="1">IFERROR(IF(LEN(_xlfn.SINGLE(중요_시점34[[#This Row],[요일]]))=0,"",IF(AND(AE$7=$E17,$F17=1),중요_시점_표식,"")),"")</f>
        <v/>
      </c>
      <c r="AF17" s="26" t="str">
        <f ca="1">IFERROR(IF(LEN(_xlfn.SINGLE(중요_시점34[[#This Row],[요일]]))=0,"",IF(AND(AF$7=$E17,$F17=1),중요_시점_표식,"")),"")</f>
        <v/>
      </c>
      <c r="AG17" s="26" t="str">
        <f ca="1">IFERROR(IF(LEN(_xlfn.SINGLE(중요_시점34[[#This Row],[요일]]))=0,"",IF(AND(AG$7=$E17,$F17=1),중요_시점_표식,"")),"")</f>
        <v/>
      </c>
      <c r="AH17" s="26" t="str">
        <f ca="1">IFERROR(IF(LEN(_xlfn.SINGLE(중요_시점34[[#This Row],[요일]]))=0,"",IF(AND(AH$7=$E17,$F17=1),중요_시점_표식,"")),"")</f>
        <v/>
      </c>
      <c r="AI17" s="26" t="str">
        <f ca="1">IFERROR(IF(LEN(_xlfn.SINGLE(중요_시점34[[#This Row],[요일]]))=0,"",IF(AND(AI$7=$E17,$F17=1),중요_시점_표식,"")),"")</f>
        <v/>
      </c>
      <c r="AJ17" s="26" t="str">
        <f ca="1">IFERROR(IF(LEN(_xlfn.SINGLE(중요_시점34[[#This Row],[요일]]))=0,"",IF(AND(AJ$7=$E17,$F17=1),중요_시점_표식,"")),"")</f>
        <v/>
      </c>
      <c r="AK17" s="26" t="str">
        <f ca="1">IFERROR(IF(LEN(_xlfn.SINGLE(중요_시점34[[#This Row],[요일]]))=0,"",IF(AND(AK$7=$E17,$F17=1),중요_시점_표식,"")),"")</f>
        <v/>
      </c>
      <c r="AL17" s="26" t="str">
        <f ca="1">IFERROR(IF(LEN(_xlfn.SINGLE(중요_시점34[[#This Row],[요일]]))=0,"",IF(AND(AL$7=$E17,$F17=1),중요_시점_표식,"")),"")</f>
        <v/>
      </c>
      <c r="AM17" s="26" t="str">
        <f ca="1">IFERROR(IF(LEN(_xlfn.SINGLE(중요_시점34[[#This Row],[요일]]))=0,"",IF(AND(AM$7=$E17,$F17=1),중요_시점_표식,"")),"")</f>
        <v/>
      </c>
      <c r="AN17" s="26" t="str">
        <f ca="1">IFERROR(IF(LEN(_xlfn.SINGLE(중요_시점34[[#This Row],[요일]]))=0,"",IF(AND(AN$7=$E17,$F17=1),중요_시점_표식,"")),"")</f>
        <v/>
      </c>
      <c r="AO17" s="26" t="str">
        <f ca="1">IFERROR(IF(LEN(_xlfn.SINGLE(중요_시점34[[#This Row],[요일]]))=0,"",IF(AND(AO$7=$E17,$F17=1),중요_시점_표식,"")),"")</f>
        <v/>
      </c>
      <c r="AP17" s="26" t="str">
        <f ca="1">IFERROR(IF(LEN(_xlfn.SINGLE(중요_시점34[[#This Row],[요일]]))=0,"",IF(AND(AP$7=$E17,$F17=1),중요_시점_표식,"")),"")</f>
        <v/>
      </c>
      <c r="AQ17" s="26" t="str">
        <f ca="1">IFERROR(IF(LEN(_xlfn.SINGLE(중요_시점34[[#This Row],[요일]]))=0,"",IF(AND(AQ$7=$E17,$F17=1),중요_시점_표식,"")),"")</f>
        <v/>
      </c>
      <c r="AR17" s="26" t="str">
        <f ca="1">IFERROR(IF(LEN(_xlfn.SINGLE(중요_시점34[[#This Row],[요일]]))=0,"",IF(AND(AR$7=$E17,$F17=1),중요_시점_표식,"")),"")</f>
        <v/>
      </c>
      <c r="AS17" s="26" t="str">
        <f ca="1">IFERROR(IF(LEN(_xlfn.SINGLE(중요_시점34[[#This Row],[요일]]))=0,"",IF(AND(AS$7=$E17,$F17=1),중요_시점_표식,"")),"")</f>
        <v/>
      </c>
      <c r="AT17" s="26" t="str">
        <f ca="1">IFERROR(IF(LEN(_xlfn.SINGLE(중요_시점34[[#This Row],[요일]]))=0,"",IF(AND(AT$7=$E17,$F17=1),중요_시점_표식,"")),"")</f>
        <v/>
      </c>
      <c r="AU17" s="26" t="str">
        <f ca="1">IFERROR(IF(LEN(_xlfn.SINGLE(중요_시점34[[#This Row],[요일]]))=0,"",IF(AND(AU$7=$E17,$F17=1),중요_시점_표식,"")),"")</f>
        <v/>
      </c>
      <c r="AV17" s="26" t="str">
        <f ca="1">IFERROR(IF(LEN(_xlfn.SINGLE(중요_시점34[[#This Row],[요일]]))=0,"",IF(AND(AV$7=$E17,$F17=1),중요_시점_표식,"")),"")</f>
        <v/>
      </c>
      <c r="AW17" s="26" t="str">
        <f ca="1">IFERROR(IF(LEN(_xlfn.SINGLE(중요_시점34[[#This Row],[요일]]))=0,"",IF(AND(AW$7=$E17,$F17=1),중요_시점_표식,"")),"")</f>
        <v/>
      </c>
      <c r="AX17" s="26" t="str">
        <f ca="1">IFERROR(IF(LEN(_xlfn.SINGLE(중요_시점34[[#This Row],[요일]]))=0,"",IF(AND(AX$7=$E17,$F17=1),중요_시점_표식,"")),"")</f>
        <v/>
      </c>
      <c r="AY17" s="26" t="str">
        <f ca="1">IFERROR(IF(LEN(_xlfn.SINGLE(중요_시점34[[#This Row],[요일]]))=0,"",IF(AND(AY$7=$E17,$F17=1),중요_시점_표식,"")),"")</f>
        <v/>
      </c>
      <c r="AZ17" s="26" t="str">
        <f ca="1">IFERROR(IF(LEN(_xlfn.SINGLE(중요_시점34[[#This Row],[요일]]))=0,"",IF(AND(AZ$7=$E17,$F17=1),중요_시점_표식,"")),"")</f>
        <v/>
      </c>
      <c r="BA17" s="26" t="str">
        <f ca="1">IFERROR(IF(LEN(_xlfn.SINGLE(중요_시점34[[#This Row],[요일]]))=0,"",IF(AND(BA$7=$E17,$F17=1),중요_시점_표식,"")),"")</f>
        <v/>
      </c>
      <c r="BB17" s="26" t="str">
        <f ca="1">IFERROR(IF(LEN(_xlfn.SINGLE(중요_시점34[[#This Row],[요일]]))=0,"",IF(AND(BB$7=$E17,$F17=1),중요_시점_표식,"")),"")</f>
        <v/>
      </c>
      <c r="BC17" s="26" t="str">
        <f ca="1">IFERROR(IF(LEN(_xlfn.SINGLE(중요_시점34[[#This Row],[요일]]))=0,"",IF(AND(BC$7=$E17,$F17=1),중요_시점_표식,"")),"")</f>
        <v/>
      </c>
      <c r="BD17" s="26" t="str">
        <f ca="1">IFERROR(IF(LEN(_xlfn.SINGLE(중요_시점34[[#This Row],[요일]]))=0,"",IF(AND(BD$7=$E17,$F17=1),중요_시점_표식,"")),"")</f>
        <v/>
      </c>
      <c r="BE17" s="26" t="str">
        <f ca="1">IFERROR(IF(LEN(_xlfn.SINGLE(중요_시점34[[#This Row],[요일]]))=0,"",IF(AND(BE$7=$E17,$F17=1),중요_시점_표식,"")),"")</f>
        <v/>
      </c>
      <c r="BF17" s="26" t="str">
        <f ca="1">IFERROR(IF(LEN(_xlfn.SINGLE(중요_시점34[[#This Row],[요일]]))=0,"",IF(AND(BF$7=$E17,$F17=1),중요_시점_표식,"")),"")</f>
        <v/>
      </c>
      <c r="BG17" s="26" t="str">
        <f ca="1">IFERROR(IF(LEN(_xlfn.SINGLE(중요_시점34[[#This Row],[요일]]))=0,"",IF(AND(BG$7=$E17,$F17=1),중요_시점_표식,"")),"")</f>
        <v/>
      </c>
      <c r="BH17" s="26" t="str">
        <f ca="1">IFERROR(IF(LEN(_xlfn.SINGLE(중요_시점34[[#This Row],[요일]]))=0,"",IF(AND(BH$7=$E17,$F17=1),중요_시점_표식,"")),"")</f>
        <v/>
      </c>
      <c r="BI17" s="26" t="str">
        <f ca="1">IFERROR(IF(LEN(_xlfn.SINGLE(중요_시점34[[#This Row],[요일]]))=0,"",IF(AND(BI$7=$E17,$F17=1),중요_시점_표식,"")),"")</f>
        <v/>
      </c>
      <c r="BJ17" s="26" t="str">
        <f ca="1">IFERROR(IF(LEN(_xlfn.SINGLE(중요_시점34[[#This Row],[요일]]))=0,"",IF(AND(BJ$7=$E17,$F17=1),중요_시점_표식,"")),"")</f>
        <v/>
      </c>
      <c r="BK17" s="26" t="str">
        <f ca="1">IFERROR(IF(LEN(_xlfn.SINGLE(중요_시점34[[#This Row],[요일]]))=0,"",IF(AND(BK$7=$E17,$F17=1),중요_시점_표식,"")),"")</f>
        <v/>
      </c>
    </row>
    <row r="18" spans="1:63" s="1" customFormat="1" ht="30" customHeight="1" outlineLevel="1">
      <c r="A18" s="5"/>
      <c r="B18" s="49" t="s">
        <v>11</v>
      </c>
      <c r="C18" s="13"/>
      <c r="D18" s="82">
        <v>0.5</v>
      </c>
      <c r="E18" s="42">
        <f ca="1">TODAY()+7</f>
        <v>44595</v>
      </c>
      <c r="F18" s="12">
        <v>9</v>
      </c>
      <c r="G18" s="27"/>
      <c r="H18" s="26" t="str">
        <f ca="1">IFERROR(IF(LEN(_xlfn.SINGLE(중요_시점34[[#This Row],[요일]]))=0,"",IF(AND(H$7=$E18,$F18=1),중요_시점_표식,"")),"")</f>
        <v/>
      </c>
      <c r="I18" s="26" t="str">
        <f ca="1">IFERROR(IF(LEN(_xlfn.SINGLE(중요_시점34[[#This Row],[요일]]))=0,"",IF(AND(I$7=$E18,$F18=1),중요_시점_표식,"")),"")</f>
        <v/>
      </c>
      <c r="J18" s="26" t="str">
        <f ca="1">IFERROR(IF(LEN(_xlfn.SINGLE(중요_시점34[[#This Row],[요일]]))=0,"",IF(AND(J$7=$E18,$F18=1),중요_시점_표식,"")),"")</f>
        <v/>
      </c>
      <c r="K18" s="26" t="str">
        <f ca="1">IFERROR(IF(LEN(_xlfn.SINGLE(중요_시점34[[#This Row],[요일]]))=0,"",IF(AND(K$7=$E18,$F18=1),중요_시점_표식,"")),"")</f>
        <v/>
      </c>
      <c r="L18" s="26" t="str">
        <f ca="1">IFERROR(IF(LEN(_xlfn.SINGLE(중요_시점34[[#This Row],[요일]]))=0,"",IF(AND(L$7=$E18,$F18=1),중요_시점_표식,"")),"")</f>
        <v/>
      </c>
      <c r="M18" s="26" t="str">
        <f ca="1">IFERROR(IF(LEN(_xlfn.SINGLE(중요_시점34[[#This Row],[요일]]))=0,"",IF(AND(M$7=$E18,$F18=1),중요_시점_표식,"")),"")</f>
        <v/>
      </c>
      <c r="N18" s="26" t="str">
        <f ca="1">IFERROR(IF(LEN(_xlfn.SINGLE(중요_시점34[[#This Row],[요일]]))=0,"",IF(AND(N$7=$E18,$F18=1),중요_시점_표식,"")),"")</f>
        <v/>
      </c>
      <c r="O18" s="26" t="str">
        <f ca="1">IFERROR(IF(LEN(_xlfn.SINGLE(중요_시점34[[#This Row],[요일]]))=0,"",IF(AND(O$7=$E18,$F18=1),중요_시점_표식,"")),"")</f>
        <v/>
      </c>
      <c r="P18" s="26" t="str">
        <f ca="1">IFERROR(IF(LEN(_xlfn.SINGLE(중요_시점34[[#This Row],[요일]]))=0,"",IF(AND(P$7=$E18,$F18=1),중요_시점_표식,"")),"")</f>
        <v/>
      </c>
      <c r="Q18" s="26" t="str">
        <f ca="1">IFERROR(IF(LEN(_xlfn.SINGLE(중요_시점34[[#This Row],[요일]]))=0,"",IF(AND(Q$7=$E18,$F18=1),중요_시점_표식,"")),"")</f>
        <v/>
      </c>
      <c r="R18" s="26" t="str">
        <f ca="1">IFERROR(IF(LEN(_xlfn.SINGLE(중요_시점34[[#This Row],[요일]]))=0,"",IF(AND(R$7=$E18,$F18=1),중요_시점_표식,"")),"")</f>
        <v/>
      </c>
      <c r="S18" s="26" t="str">
        <f ca="1">IFERROR(IF(LEN(_xlfn.SINGLE(중요_시점34[[#This Row],[요일]]))=0,"",IF(AND(S$7=$E18,$F18=1),중요_시점_표식,"")),"")</f>
        <v/>
      </c>
      <c r="T18" s="26" t="str">
        <f ca="1">IFERROR(IF(LEN(_xlfn.SINGLE(중요_시점34[[#This Row],[요일]]))=0,"",IF(AND(T$7=$E18,$F18=1),중요_시점_표식,"")),"")</f>
        <v/>
      </c>
      <c r="U18" s="26" t="str">
        <f ca="1">IFERROR(IF(LEN(_xlfn.SINGLE(중요_시점34[[#This Row],[요일]]))=0,"",IF(AND(U$7=$E18,$F18=1),중요_시점_표식,"")),"")</f>
        <v/>
      </c>
      <c r="V18" s="26" t="str">
        <f ca="1">IFERROR(IF(LEN(_xlfn.SINGLE(중요_시점34[[#This Row],[요일]]))=0,"",IF(AND(V$7=$E18,$F18=1),중요_시점_표식,"")),"")</f>
        <v/>
      </c>
      <c r="W18" s="26" t="str">
        <f ca="1">IFERROR(IF(LEN(_xlfn.SINGLE(중요_시점34[[#This Row],[요일]]))=0,"",IF(AND(W$7=$E18,$F18=1),중요_시점_표식,"")),"")</f>
        <v/>
      </c>
      <c r="X18" s="26" t="str">
        <f ca="1">IFERROR(IF(LEN(_xlfn.SINGLE(중요_시점34[[#This Row],[요일]]))=0,"",IF(AND(X$7=$E18,$F18=1),중요_시점_표식,"")),"")</f>
        <v/>
      </c>
      <c r="Y18" s="26" t="str">
        <f ca="1">IFERROR(IF(LEN(_xlfn.SINGLE(중요_시점34[[#This Row],[요일]]))=0,"",IF(AND(Y$7=$E18,$F18=1),중요_시점_표식,"")),"")</f>
        <v/>
      </c>
      <c r="Z18" s="26" t="str">
        <f ca="1">IFERROR(IF(LEN(_xlfn.SINGLE(중요_시점34[[#This Row],[요일]]))=0,"",IF(AND(Z$7=$E18,$F18=1),중요_시점_표식,"")),"")</f>
        <v/>
      </c>
      <c r="AA18" s="26" t="str">
        <f ca="1">IFERROR(IF(LEN(_xlfn.SINGLE(중요_시점34[[#This Row],[요일]]))=0,"",IF(AND(AA$7=$E18,$F18=1),중요_시점_표식,"")),"")</f>
        <v/>
      </c>
      <c r="AB18" s="26" t="str">
        <f ca="1">IFERROR(IF(LEN(_xlfn.SINGLE(중요_시점34[[#This Row],[요일]]))=0,"",IF(AND(AB$7=$E18,$F18=1),중요_시점_표식,"")),"")</f>
        <v/>
      </c>
      <c r="AC18" s="26" t="str">
        <f ca="1">IFERROR(IF(LEN(_xlfn.SINGLE(중요_시점34[[#This Row],[요일]]))=0,"",IF(AND(AC$7=$E18,$F18=1),중요_시점_표식,"")),"")</f>
        <v/>
      </c>
      <c r="AD18" s="26" t="str">
        <f ca="1">IFERROR(IF(LEN(_xlfn.SINGLE(중요_시점34[[#This Row],[요일]]))=0,"",IF(AND(AD$7=$E18,$F18=1),중요_시점_표식,"")),"")</f>
        <v/>
      </c>
      <c r="AE18" s="26" t="str">
        <f ca="1">IFERROR(IF(LEN(_xlfn.SINGLE(중요_시점34[[#This Row],[요일]]))=0,"",IF(AND(AE$7=$E18,$F18=1),중요_시점_표식,"")),"")</f>
        <v/>
      </c>
      <c r="AF18" s="26" t="str">
        <f ca="1">IFERROR(IF(LEN(_xlfn.SINGLE(중요_시점34[[#This Row],[요일]]))=0,"",IF(AND(AF$7=$E18,$F18=1),중요_시점_표식,"")),"")</f>
        <v/>
      </c>
      <c r="AG18" s="26" t="str">
        <f ca="1">IFERROR(IF(LEN(_xlfn.SINGLE(중요_시점34[[#This Row],[요일]]))=0,"",IF(AND(AG$7=$E18,$F18=1),중요_시점_표식,"")),"")</f>
        <v/>
      </c>
      <c r="AH18" s="26" t="str">
        <f ca="1">IFERROR(IF(LEN(_xlfn.SINGLE(중요_시점34[[#This Row],[요일]]))=0,"",IF(AND(AH$7=$E18,$F18=1),중요_시점_표식,"")),"")</f>
        <v/>
      </c>
      <c r="AI18" s="26" t="str">
        <f ca="1">IFERROR(IF(LEN(_xlfn.SINGLE(중요_시점34[[#This Row],[요일]]))=0,"",IF(AND(AI$7=$E18,$F18=1),중요_시점_표식,"")),"")</f>
        <v/>
      </c>
      <c r="AJ18" s="26" t="str">
        <f ca="1">IFERROR(IF(LEN(_xlfn.SINGLE(중요_시점34[[#This Row],[요일]]))=0,"",IF(AND(AJ$7=$E18,$F18=1),중요_시점_표식,"")),"")</f>
        <v/>
      </c>
      <c r="AK18" s="26" t="str">
        <f ca="1">IFERROR(IF(LEN(_xlfn.SINGLE(중요_시점34[[#This Row],[요일]]))=0,"",IF(AND(AK$7=$E18,$F18=1),중요_시점_표식,"")),"")</f>
        <v/>
      </c>
      <c r="AL18" s="26" t="str">
        <f ca="1">IFERROR(IF(LEN(_xlfn.SINGLE(중요_시점34[[#This Row],[요일]]))=0,"",IF(AND(AL$7=$E18,$F18=1),중요_시점_표식,"")),"")</f>
        <v/>
      </c>
      <c r="AM18" s="26" t="str">
        <f ca="1">IFERROR(IF(LEN(_xlfn.SINGLE(중요_시점34[[#This Row],[요일]]))=0,"",IF(AND(AM$7=$E18,$F18=1),중요_시점_표식,"")),"")</f>
        <v/>
      </c>
      <c r="AN18" s="26" t="str">
        <f ca="1">IFERROR(IF(LEN(_xlfn.SINGLE(중요_시점34[[#This Row],[요일]]))=0,"",IF(AND(AN$7=$E18,$F18=1),중요_시점_표식,"")),"")</f>
        <v/>
      </c>
      <c r="AO18" s="26" t="str">
        <f ca="1">IFERROR(IF(LEN(_xlfn.SINGLE(중요_시점34[[#This Row],[요일]]))=0,"",IF(AND(AO$7=$E18,$F18=1),중요_시점_표식,"")),"")</f>
        <v/>
      </c>
      <c r="AP18" s="26" t="str">
        <f ca="1">IFERROR(IF(LEN(_xlfn.SINGLE(중요_시점34[[#This Row],[요일]]))=0,"",IF(AND(AP$7=$E18,$F18=1),중요_시점_표식,"")),"")</f>
        <v/>
      </c>
      <c r="AQ18" s="26" t="str">
        <f ca="1">IFERROR(IF(LEN(_xlfn.SINGLE(중요_시점34[[#This Row],[요일]]))=0,"",IF(AND(AQ$7=$E18,$F18=1),중요_시점_표식,"")),"")</f>
        <v/>
      </c>
      <c r="AR18" s="26" t="str">
        <f ca="1">IFERROR(IF(LEN(_xlfn.SINGLE(중요_시점34[[#This Row],[요일]]))=0,"",IF(AND(AR$7=$E18,$F18=1),중요_시점_표식,"")),"")</f>
        <v/>
      </c>
      <c r="AS18" s="26" t="str">
        <f ca="1">IFERROR(IF(LEN(_xlfn.SINGLE(중요_시점34[[#This Row],[요일]]))=0,"",IF(AND(AS$7=$E18,$F18=1),중요_시점_표식,"")),"")</f>
        <v/>
      </c>
      <c r="AT18" s="26" t="str">
        <f ca="1">IFERROR(IF(LEN(_xlfn.SINGLE(중요_시점34[[#This Row],[요일]]))=0,"",IF(AND(AT$7=$E18,$F18=1),중요_시점_표식,"")),"")</f>
        <v/>
      </c>
      <c r="AU18" s="26" t="str">
        <f ca="1">IFERROR(IF(LEN(_xlfn.SINGLE(중요_시점34[[#This Row],[요일]]))=0,"",IF(AND(AU$7=$E18,$F18=1),중요_시점_표식,"")),"")</f>
        <v/>
      </c>
      <c r="AV18" s="26" t="str">
        <f ca="1">IFERROR(IF(LEN(_xlfn.SINGLE(중요_시점34[[#This Row],[요일]]))=0,"",IF(AND(AV$7=$E18,$F18=1),중요_시점_표식,"")),"")</f>
        <v/>
      </c>
      <c r="AW18" s="26" t="str">
        <f ca="1">IFERROR(IF(LEN(_xlfn.SINGLE(중요_시점34[[#This Row],[요일]]))=0,"",IF(AND(AW$7=$E18,$F18=1),중요_시점_표식,"")),"")</f>
        <v/>
      </c>
      <c r="AX18" s="26" t="str">
        <f ca="1">IFERROR(IF(LEN(_xlfn.SINGLE(중요_시점34[[#This Row],[요일]]))=0,"",IF(AND(AX$7=$E18,$F18=1),중요_시점_표식,"")),"")</f>
        <v/>
      </c>
      <c r="AY18" s="26" t="str">
        <f ca="1">IFERROR(IF(LEN(_xlfn.SINGLE(중요_시점34[[#This Row],[요일]]))=0,"",IF(AND(AY$7=$E18,$F18=1),중요_시점_표식,"")),"")</f>
        <v/>
      </c>
      <c r="AZ18" s="26" t="str">
        <f ca="1">IFERROR(IF(LEN(_xlfn.SINGLE(중요_시점34[[#This Row],[요일]]))=0,"",IF(AND(AZ$7=$E18,$F18=1),중요_시점_표식,"")),"")</f>
        <v/>
      </c>
      <c r="BA18" s="26" t="str">
        <f ca="1">IFERROR(IF(LEN(_xlfn.SINGLE(중요_시점34[[#This Row],[요일]]))=0,"",IF(AND(BA$7=$E18,$F18=1),중요_시점_표식,"")),"")</f>
        <v/>
      </c>
      <c r="BB18" s="26" t="str">
        <f ca="1">IFERROR(IF(LEN(_xlfn.SINGLE(중요_시점34[[#This Row],[요일]]))=0,"",IF(AND(BB$7=$E18,$F18=1),중요_시점_표식,"")),"")</f>
        <v/>
      </c>
      <c r="BC18" s="26" t="str">
        <f ca="1">IFERROR(IF(LEN(_xlfn.SINGLE(중요_시점34[[#This Row],[요일]]))=0,"",IF(AND(BC$7=$E18,$F18=1),중요_시점_표식,"")),"")</f>
        <v/>
      </c>
      <c r="BD18" s="26" t="str">
        <f ca="1">IFERROR(IF(LEN(_xlfn.SINGLE(중요_시점34[[#This Row],[요일]]))=0,"",IF(AND(BD$7=$E18,$F18=1),중요_시점_표식,"")),"")</f>
        <v/>
      </c>
      <c r="BE18" s="26" t="str">
        <f ca="1">IFERROR(IF(LEN(_xlfn.SINGLE(중요_시점34[[#This Row],[요일]]))=0,"",IF(AND(BE$7=$E18,$F18=1),중요_시점_표식,"")),"")</f>
        <v/>
      </c>
      <c r="BF18" s="26" t="str">
        <f ca="1">IFERROR(IF(LEN(_xlfn.SINGLE(중요_시점34[[#This Row],[요일]]))=0,"",IF(AND(BF$7=$E18,$F18=1),중요_시점_표식,"")),"")</f>
        <v/>
      </c>
      <c r="BG18" s="26" t="str">
        <f ca="1">IFERROR(IF(LEN(_xlfn.SINGLE(중요_시점34[[#This Row],[요일]]))=0,"",IF(AND(BG$7=$E18,$F18=1),중요_시점_표식,"")),"")</f>
        <v/>
      </c>
      <c r="BH18" s="26" t="str">
        <f ca="1">IFERROR(IF(LEN(_xlfn.SINGLE(중요_시점34[[#This Row],[요일]]))=0,"",IF(AND(BH$7=$E18,$F18=1),중요_시점_표식,"")),"")</f>
        <v/>
      </c>
      <c r="BI18" s="26" t="str">
        <f ca="1">IFERROR(IF(LEN(_xlfn.SINGLE(중요_시점34[[#This Row],[요일]]))=0,"",IF(AND(BI$7=$E18,$F18=1),중요_시점_표식,"")),"")</f>
        <v/>
      </c>
      <c r="BJ18" s="26" t="str">
        <f ca="1">IFERROR(IF(LEN(_xlfn.SINGLE(중요_시점34[[#This Row],[요일]]))=0,"",IF(AND(BJ$7=$E18,$F18=1),중요_시점_표식,"")),"")</f>
        <v/>
      </c>
      <c r="BK18" s="26" t="str">
        <f ca="1">IFERROR(IF(LEN(_xlfn.SINGLE(중요_시점34[[#This Row],[요일]]))=0,"",IF(AND(BK$7=$E18,$F18=1),중요_시점_표식,"")),"")</f>
        <v/>
      </c>
    </row>
    <row r="19" spans="1:63" s="1" customFormat="1" ht="30" customHeight="1" outlineLevel="1">
      <c r="A19" s="5"/>
      <c r="B19" s="49" t="s">
        <v>12</v>
      </c>
      <c r="C19" s="13"/>
      <c r="D19" s="82">
        <v>0.33</v>
      </c>
      <c r="E19" s="42">
        <f ca="1">TODAY()+15</f>
        <v>44603</v>
      </c>
      <c r="F19" s="12">
        <v>11</v>
      </c>
      <c r="G19" s="27"/>
      <c r="H19" s="26" t="str">
        <f ca="1">IFERROR(IF(LEN(_xlfn.SINGLE(중요_시점34[[#This Row],[요일]]))=0,"",IF(AND(H$7=$E19,$F19=1),중요_시점_표식,"")),"")</f>
        <v/>
      </c>
      <c r="I19" s="26" t="str">
        <f ca="1">IFERROR(IF(LEN(_xlfn.SINGLE(중요_시점34[[#This Row],[요일]]))=0,"",IF(AND(I$7=$E19,$F19=1),중요_시점_표식,"")),"")</f>
        <v/>
      </c>
      <c r="J19" s="26" t="str">
        <f ca="1">IFERROR(IF(LEN(_xlfn.SINGLE(중요_시점34[[#This Row],[요일]]))=0,"",IF(AND(J$7=$E19,$F19=1),중요_시점_표식,"")),"")</f>
        <v/>
      </c>
      <c r="K19" s="26" t="str">
        <f ca="1">IFERROR(IF(LEN(_xlfn.SINGLE(중요_시점34[[#This Row],[요일]]))=0,"",IF(AND(K$7=$E19,$F19=1),중요_시점_표식,"")),"")</f>
        <v/>
      </c>
      <c r="L19" s="26" t="str">
        <f ca="1">IFERROR(IF(LEN(_xlfn.SINGLE(중요_시점34[[#This Row],[요일]]))=0,"",IF(AND(L$7=$E19,$F19=1),중요_시점_표식,"")),"")</f>
        <v/>
      </c>
      <c r="M19" s="26" t="str">
        <f ca="1">IFERROR(IF(LEN(_xlfn.SINGLE(중요_시점34[[#This Row],[요일]]))=0,"",IF(AND(M$7=$E19,$F19=1),중요_시점_표식,"")),"")</f>
        <v/>
      </c>
      <c r="N19" s="26" t="str">
        <f ca="1">IFERROR(IF(LEN(_xlfn.SINGLE(중요_시점34[[#This Row],[요일]]))=0,"",IF(AND(N$7=$E19,$F19=1),중요_시점_표식,"")),"")</f>
        <v/>
      </c>
      <c r="O19" s="26" t="str">
        <f ca="1">IFERROR(IF(LEN(_xlfn.SINGLE(중요_시점34[[#This Row],[요일]]))=0,"",IF(AND(O$7=$E19,$F19=1),중요_시점_표식,"")),"")</f>
        <v/>
      </c>
      <c r="P19" s="26" t="str">
        <f ca="1">IFERROR(IF(LEN(_xlfn.SINGLE(중요_시점34[[#This Row],[요일]]))=0,"",IF(AND(P$7=$E19,$F19=1),중요_시점_표식,"")),"")</f>
        <v/>
      </c>
      <c r="Q19" s="26" t="str">
        <f ca="1">IFERROR(IF(LEN(_xlfn.SINGLE(중요_시점34[[#This Row],[요일]]))=0,"",IF(AND(Q$7=$E19,$F19=1),중요_시점_표식,"")),"")</f>
        <v/>
      </c>
      <c r="R19" s="26" t="str">
        <f ca="1">IFERROR(IF(LEN(_xlfn.SINGLE(중요_시점34[[#This Row],[요일]]))=0,"",IF(AND(R$7=$E19,$F19=1),중요_시점_표식,"")),"")</f>
        <v/>
      </c>
      <c r="S19" s="26" t="str">
        <f ca="1">IFERROR(IF(LEN(_xlfn.SINGLE(중요_시점34[[#This Row],[요일]]))=0,"",IF(AND(S$7=$E19,$F19=1),중요_시점_표식,"")),"")</f>
        <v/>
      </c>
      <c r="T19" s="26" t="str">
        <f ca="1">IFERROR(IF(LEN(_xlfn.SINGLE(중요_시점34[[#This Row],[요일]]))=0,"",IF(AND(T$7=$E19,$F19=1),중요_시점_표식,"")),"")</f>
        <v/>
      </c>
      <c r="U19" s="26" t="str">
        <f ca="1">IFERROR(IF(LEN(_xlfn.SINGLE(중요_시점34[[#This Row],[요일]]))=0,"",IF(AND(U$7=$E19,$F19=1),중요_시점_표식,"")),"")</f>
        <v/>
      </c>
      <c r="V19" s="26" t="str">
        <f ca="1">IFERROR(IF(LEN(_xlfn.SINGLE(중요_시점34[[#This Row],[요일]]))=0,"",IF(AND(V$7=$E19,$F19=1),중요_시점_표식,"")),"")</f>
        <v/>
      </c>
      <c r="W19" s="26" t="str">
        <f ca="1">IFERROR(IF(LEN(_xlfn.SINGLE(중요_시점34[[#This Row],[요일]]))=0,"",IF(AND(W$7=$E19,$F19=1),중요_시점_표식,"")),"")</f>
        <v/>
      </c>
      <c r="X19" s="26" t="str">
        <f ca="1">IFERROR(IF(LEN(_xlfn.SINGLE(중요_시점34[[#This Row],[요일]]))=0,"",IF(AND(X$7=$E19,$F19=1),중요_시점_표식,"")),"")</f>
        <v/>
      </c>
      <c r="Y19" s="26" t="str">
        <f ca="1">IFERROR(IF(LEN(_xlfn.SINGLE(중요_시점34[[#This Row],[요일]]))=0,"",IF(AND(Y$7=$E19,$F19=1),중요_시점_표식,"")),"")</f>
        <v/>
      </c>
      <c r="Z19" s="26" t="str">
        <f ca="1">IFERROR(IF(LEN(_xlfn.SINGLE(중요_시점34[[#This Row],[요일]]))=0,"",IF(AND(Z$7=$E19,$F19=1),중요_시점_표식,"")),"")</f>
        <v/>
      </c>
      <c r="AA19" s="26" t="str">
        <f ca="1">IFERROR(IF(LEN(_xlfn.SINGLE(중요_시점34[[#This Row],[요일]]))=0,"",IF(AND(AA$7=$E19,$F19=1),중요_시점_표식,"")),"")</f>
        <v/>
      </c>
      <c r="AB19" s="26" t="str">
        <f ca="1">IFERROR(IF(LEN(_xlfn.SINGLE(중요_시점34[[#This Row],[요일]]))=0,"",IF(AND(AB$7=$E19,$F19=1),중요_시점_표식,"")),"")</f>
        <v/>
      </c>
      <c r="AC19" s="26" t="str">
        <f ca="1">IFERROR(IF(LEN(_xlfn.SINGLE(중요_시점34[[#This Row],[요일]]))=0,"",IF(AND(AC$7=$E19,$F19=1),중요_시점_표식,"")),"")</f>
        <v/>
      </c>
      <c r="AD19" s="26" t="str">
        <f ca="1">IFERROR(IF(LEN(_xlfn.SINGLE(중요_시점34[[#This Row],[요일]]))=0,"",IF(AND(AD$7=$E19,$F19=1),중요_시점_표식,"")),"")</f>
        <v/>
      </c>
      <c r="AE19" s="26" t="str">
        <f ca="1">IFERROR(IF(LEN(_xlfn.SINGLE(중요_시점34[[#This Row],[요일]]))=0,"",IF(AND(AE$7=$E19,$F19=1),중요_시점_표식,"")),"")</f>
        <v/>
      </c>
      <c r="AF19" s="26" t="str">
        <f ca="1">IFERROR(IF(LEN(_xlfn.SINGLE(중요_시점34[[#This Row],[요일]]))=0,"",IF(AND(AF$7=$E19,$F19=1),중요_시점_표식,"")),"")</f>
        <v/>
      </c>
      <c r="AG19" s="26" t="str">
        <f ca="1">IFERROR(IF(LEN(_xlfn.SINGLE(중요_시점34[[#This Row],[요일]]))=0,"",IF(AND(AG$7=$E19,$F19=1),중요_시점_표식,"")),"")</f>
        <v/>
      </c>
      <c r="AH19" s="26" t="str">
        <f ca="1">IFERROR(IF(LEN(_xlfn.SINGLE(중요_시점34[[#This Row],[요일]]))=0,"",IF(AND(AH$7=$E19,$F19=1),중요_시점_표식,"")),"")</f>
        <v/>
      </c>
      <c r="AI19" s="26" t="str">
        <f ca="1">IFERROR(IF(LEN(_xlfn.SINGLE(중요_시점34[[#This Row],[요일]]))=0,"",IF(AND(AI$7=$E19,$F19=1),중요_시점_표식,"")),"")</f>
        <v/>
      </c>
      <c r="AJ19" s="26" t="str">
        <f ca="1">IFERROR(IF(LEN(_xlfn.SINGLE(중요_시점34[[#This Row],[요일]]))=0,"",IF(AND(AJ$7=$E19,$F19=1),중요_시점_표식,"")),"")</f>
        <v/>
      </c>
      <c r="AK19" s="26" t="str">
        <f ca="1">IFERROR(IF(LEN(_xlfn.SINGLE(중요_시점34[[#This Row],[요일]]))=0,"",IF(AND(AK$7=$E19,$F19=1),중요_시점_표식,"")),"")</f>
        <v/>
      </c>
      <c r="AL19" s="26" t="str">
        <f ca="1">IFERROR(IF(LEN(_xlfn.SINGLE(중요_시점34[[#This Row],[요일]]))=0,"",IF(AND(AL$7=$E19,$F19=1),중요_시점_표식,"")),"")</f>
        <v/>
      </c>
      <c r="AM19" s="26" t="str">
        <f ca="1">IFERROR(IF(LEN(_xlfn.SINGLE(중요_시점34[[#This Row],[요일]]))=0,"",IF(AND(AM$7=$E19,$F19=1),중요_시점_표식,"")),"")</f>
        <v/>
      </c>
      <c r="AN19" s="26" t="str">
        <f ca="1">IFERROR(IF(LEN(_xlfn.SINGLE(중요_시점34[[#This Row],[요일]]))=0,"",IF(AND(AN$7=$E19,$F19=1),중요_시점_표식,"")),"")</f>
        <v/>
      </c>
      <c r="AO19" s="26" t="str">
        <f ca="1">IFERROR(IF(LEN(_xlfn.SINGLE(중요_시점34[[#This Row],[요일]]))=0,"",IF(AND(AO$7=$E19,$F19=1),중요_시점_표식,"")),"")</f>
        <v/>
      </c>
      <c r="AP19" s="26" t="str">
        <f ca="1">IFERROR(IF(LEN(_xlfn.SINGLE(중요_시점34[[#This Row],[요일]]))=0,"",IF(AND(AP$7=$E19,$F19=1),중요_시점_표식,"")),"")</f>
        <v/>
      </c>
      <c r="AQ19" s="26" t="str">
        <f ca="1">IFERROR(IF(LEN(_xlfn.SINGLE(중요_시점34[[#This Row],[요일]]))=0,"",IF(AND(AQ$7=$E19,$F19=1),중요_시점_표식,"")),"")</f>
        <v/>
      </c>
      <c r="AR19" s="26" t="str">
        <f ca="1">IFERROR(IF(LEN(_xlfn.SINGLE(중요_시점34[[#This Row],[요일]]))=0,"",IF(AND(AR$7=$E19,$F19=1),중요_시점_표식,"")),"")</f>
        <v/>
      </c>
      <c r="AS19" s="26" t="str">
        <f ca="1">IFERROR(IF(LEN(_xlfn.SINGLE(중요_시점34[[#This Row],[요일]]))=0,"",IF(AND(AS$7=$E19,$F19=1),중요_시점_표식,"")),"")</f>
        <v/>
      </c>
      <c r="AT19" s="26" t="str">
        <f ca="1">IFERROR(IF(LEN(_xlfn.SINGLE(중요_시점34[[#This Row],[요일]]))=0,"",IF(AND(AT$7=$E19,$F19=1),중요_시점_표식,"")),"")</f>
        <v/>
      </c>
      <c r="AU19" s="26" t="str">
        <f ca="1">IFERROR(IF(LEN(_xlfn.SINGLE(중요_시점34[[#This Row],[요일]]))=0,"",IF(AND(AU$7=$E19,$F19=1),중요_시점_표식,"")),"")</f>
        <v/>
      </c>
      <c r="AV19" s="26" t="str">
        <f ca="1">IFERROR(IF(LEN(_xlfn.SINGLE(중요_시점34[[#This Row],[요일]]))=0,"",IF(AND(AV$7=$E19,$F19=1),중요_시점_표식,"")),"")</f>
        <v/>
      </c>
      <c r="AW19" s="26" t="str">
        <f ca="1">IFERROR(IF(LEN(_xlfn.SINGLE(중요_시점34[[#This Row],[요일]]))=0,"",IF(AND(AW$7=$E19,$F19=1),중요_시점_표식,"")),"")</f>
        <v/>
      </c>
      <c r="AX19" s="26" t="str">
        <f ca="1">IFERROR(IF(LEN(_xlfn.SINGLE(중요_시점34[[#This Row],[요일]]))=0,"",IF(AND(AX$7=$E19,$F19=1),중요_시점_표식,"")),"")</f>
        <v/>
      </c>
      <c r="AY19" s="26" t="str">
        <f ca="1">IFERROR(IF(LEN(_xlfn.SINGLE(중요_시점34[[#This Row],[요일]]))=0,"",IF(AND(AY$7=$E19,$F19=1),중요_시점_표식,"")),"")</f>
        <v/>
      </c>
      <c r="AZ19" s="26" t="str">
        <f ca="1">IFERROR(IF(LEN(_xlfn.SINGLE(중요_시점34[[#This Row],[요일]]))=0,"",IF(AND(AZ$7=$E19,$F19=1),중요_시점_표식,"")),"")</f>
        <v/>
      </c>
      <c r="BA19" s="26" t="str">
        <f ca="1">IFERROR(IF(LEN(_xlfn.SINGLE(중요_시점34[[#This Row],[요일]]))=0,"",IF(AND(BA$7=$E19,$F19=1),중요_시점_표식,"")),"")</f>
        <v/>
      </c>
      <c r="BB19" s="26" t="str">
        <f ca="1">IFERROR(IF(LEN(_xlfn.SINGLE(중요_시점34[[#This Row],[요일]]))=0,"",IF(AND(BB$7=$E19,$F19=1),중요_시점_표식,"")),"")</f>
        <v/>
      </c>
      <c r="BC19" s="26" t="str">
        <f ca="1">IFERROR(IF(LEN(_xlfn.SINGLE(중요_시점34[[#This Row],[요일]]))=0,"",IF(AND(BC$7=$E19,$F19=1),중요_시점_표식,"")),"")</f>
        <v/>
      </c>
      <c r="BD19" s="26" t="str">
        <f ca="1">IFERROR(IF(LEN(_xlfn.SINGLE(중요_시점34[[#This Row],[요일]]))=0,"",IF(AND(BD$7=$E19,$F19=1),중요_시점_표식,"")),"")</f>
        <v/>
      </c>
      <c r="BE19" s="26" t="str">
        <f ca="1">IFERROR(IF(LEN(_xlfn.SINGLE(중요_시점34[[#This Row],[요일]]))=0,"",IF(AND(BE$7=$E19,$F19=1),중요_시점_표식,"")),"")</f>
        <v/>
      </c>
      <c r="BF19" s="26" t="str">
        <f ca="1">IFERROR(IF(LEN(_xlfn.SINGLE(중요_시점34[[#This Row],[요일]]))=0,"",IF(AND(BF$7=$E19,$F19=1),중요_시점_표식,"")),"")</f>
        <v/>
      </c>
      <c r="BG19" s="26" t="str">
        <f ca="1">IFERROR(IF(LEN(_xlfn.SINGLE(중요_시점34[[#This Row],[요일]]))=0,"",IF(AND(BG$7=$E19,$F19=1),중요_시점_표식,"")),"")</f>
        <v/>
      </c>
      <c r="BH19" s="26" t="str">
        <f ca="1">IFERROR(IF(LEN(_xlfn.SINGLE(중요_시점34[[#This Row],[요일]]))=0,"",IF(AND(BH$7=$E19,$F19=1),중요_시점_표식,"")),"")</f>
        <v/>
      </c>
      <c r="BI19" s="26" t="str">
        <f ca="1">IFERROR(IF(LEN(_xlfn.SINGLE(중요_시점34[[#This Row],[요일]]))=0,"",IF(AND(BI$7=$E19,$F19=1),중요_시점_표식,"")),"")</f>
        <v/>
      </c>
      <c r="BJ19" s="26" t="str">
        <f ca="1">IFERROR(IF(LEN(_xlfn.SINGLE(중요_시점34[[#This Row],[요일]]))=0,"",IF(AND(BJ$7=$E19,$F19=1),중요_시점_표식,"")),"")</f>
        <v/>
      </c>
      <c r="BK19" s="26" t="str">
        <f ca="1">IFERROR(IF(LEN(_xlfn.SINGLE(중요_시점34[[#This Row],[요일]]))=0,"",IF(AND(BK$7=$E19,$F19=1),중요_시점_표식,"")),"")</f>
        <v/>
      </c>
    </row>
    <row r="20" spans="1:63" s="1" customFormat="1" ht="30" customHeight="1" outlineLevel="1">
      <c r="A20" s="5"/>
      <c r="B20" s="49" t="s">
        <v>13</v>
      </c>
      <c r="C20" s="13"/>
      <c r="D20" s="82"/>
      <c r="E20" s="42">
        <f ca="1">TODAY()+24</f>
        <v>44612</v>
      </c>
      <c r="F20" s="12">
        <v>1</v>
      </c>
      <c r="G20" s="27"/>
      <c r="H20" s="26" t="str">
        <f ca="1">IFERROR(IF(LEN(_xlfn.SINGLE(중요_시점34[[#This Row],[요일]]))=0,"",IF(AND(H$7=$E20,$F20=1),중요_시점_표식,"")),"")</f>
        <v/>
      </c>
      <c r="I20" s="26" t="str">
        <f ca="1">IFERROR(IF(LEN(_xlfn.SINGLE(중요_시점34[[#This Row],[요일]]))=0,"",IF(AND(I$7=$E20,$F20=1),중요_시점_표식,"")),"")</f>
        <v/>
      </c>
      <c r="J20" s="26" t="str">
        <f ca="1">IFERROR(IF(LEN(_xlfn.SINGLE(중요_시점34[[#This Row],[요일]]))=0,"",IF(AND(J$7=$E20,$F20=1),중요_시점_표식,"")),"")</f>
        <v/>
      </c>
      <c r="K20" s="26" t="str">
        <f ca="1">IFERROR(IF(LEN(_xlfn.SINGLE(중요_시점34[[#This Row],[요일]]))=0,"",IF(AND(K$7=$E20,$F20=1),중요_시점_표식,"")),"")</f>
        <v/>
      </c>
      <c r="L20" s="26" t="str">
        <f ca="1">IFERROR(IF(LEN(_xlfn.SINGLE(중요_시점34[[#This Row],[요일]]))=0,"",IF(AND(L$7=$E20,$F20=1),중요_시점_표식,"")),"")</f>
        <v/>
      </c>
      <c r="M20" s="26" t="str">
        <f ca="1">IFERROR(IF(LEN(_xlfn.SINGLE(중요_시점34[[#This Row],[요일]]))=0,"",IF(AND(M$7=$E20,$F20=1),중요_시점_표식,"")),"")</f>
        <v/>
      </c>
      <c r="N20" s="26" t="str">
        <f ca="1">IFERROR(IF(LEN(_xlfn.SINGLE(중요_시점34[[#This Row],[요일]]))=0,"",IF(AND(N$7=$E20,$F20=1),중요_시점_표식,"")),"")</f>
        <v/>
      </c>
      <c r="O20" s="26" t="str">
        <f ca="1">IFERROR(IF(LEN(_xlfn.SINGLE(중요_시점34[[#This Row],[요일]]))=0,"",IF(AND(O$7=$E20,$F20=1),중요_시점_표식,"")),"")</f>
        <v/>
      </c>
      <c r="P20" s="26" t="str">
        <f ca="1">IFERROR(IF(LEN(_xlfn.SINGLE(중요_시점34[[#This Row],[요일]]))=0,"",IF(AND(P$7=$E20,$F20=1),중요_시점_표식,"")),"")</f>
        <v/>
      </c>
      <c r="Q20" s="26" t="str">
        <f ca="1">IFERROR(IF(LEN(_xlfn.SINGLE(중요_시점34[[#This Row],[요일]]))=0,"",IF(AND(Q$7=$E20,$F20=1),중요_시점_표식,"")),"")</f>
        <v/>
      </c>
      <c r="R20" s="26" t="str">
        <f ca="1">IFERROR(IF(LEN(_xlfn.SINGLE(중요_시점34[[#This Row],[요일]]))=0,"",IF(AND(R$7=$E20,$F20=1),중요_시점_표식,"")),"")</f>
        <v/>
      </c>
      <c r="S20" s="26">
        <f ca="1">IFERROR(IF(LEN(_xlfn.SINGLE(중요_시점34[[#This Row],[요일]]))=0,"",IF(AND(S$7=$E20,$F20=1),중요_시점_표식,"")),"")</f>
        <v>1</v>
      </c>
      <c r="T20" s="26" t="str">
        <f ca="1">IFERROR(IF(LEN(_xlfn.SINGLE(중요_시점34[[#This Row],[요일]]))=0,"",IF(AND(T$7=$E20,$F20=1),중요_시점_표식,"")),"")</f>
        <v/>
      </c>
      <c r="U20" s="26" t="str">
        <f ca="1">IFERROR(IF(LEN(_xlfn.SINGLE(중요_시점34[[#This Row],[요일]]))=0,"",IF(AND(U$7=$E20,$F20=1),중요_시점_표식,"")),"")</f>
        <v/>
      </c>
      <c r="V20" s="26" t="str">
        <f ca="1">IFERROR(IF(LEN(_xlfn.SINGLE(중요_시점34[[#This Row],[요일]]))=0,"",IF(AND(V$7=$E20,$F20=1),중요_시점_표식,"")),"")</f>
        <v/>
      </c>
      <c r="W20" s="26" t="str">
        <f ca="1">IFERROR(IF(LEN(_xlfn.SINGLE(중요_시점34[[#This Row],[요일]]))=0,"",IF(AND(W$7=$E20,$F20=1),중요_시점_표식,"")),"")</f>
        <v/>
      </c>
      <c r="X20" s="26" t="str">
        <f ca="1">IFERROR(IF(LEN(_xlfn.SINGLE(중요_시점34[[#This Row],[요일]]))=0,"",IF(AND(X$7=$E20,$F20=1),중요_시점_표식,"")),"")</f>
        <v/>
      </c>
      <c r="Y20" s="26" t="str">
        <f ca="1">IFERROR(IF(LEN(_xlfn.SINGLE(중요_시점34[[#This Row],[요일]]))=0,"",IF(AND(Y$7=$E20,$F20=1),중요_시점_표식,"")),"")</f>
        <v/>
      </c>
      <c r="Z20" s="26" t="str">
        <f ca="1">IFERROR(IF(LEN(_xlfn.SINGLE(중요_시점34[[#This Row],[요일]]))=0,"",IF(AND(Z$7=$E20,$F20=1),중요_시점_표식,"")),"")</f>
        <v/>
      </c>
      <c r="AA20" s="26" t="str">
        <f ca="1">IFERROR(IF(LEN(_xlfn.SINGLE(중요_시점34[[#This Row],[요일]]))=0,"",IF(AND(AA$7=$E20,$F20=1),중요_시점_표식,"")),"")</f>
        <v/>
      </c>
      <c r="AB20" s="26" t="str">
        <f ca="1">IFERROR(IF(LEN(_xlfn.SINGLE(중요_시점34[[#This Row],[요일]]))=0,"",IF(AND(AB$7=$E20,$F20=1),중요_시점_표식,"")),"")</f>
        <v/>
      </c>
      <c r="AC20" s="26" t="str">
        <f ca="1">IFERROR(IF(LEN(_xlfn.SINGLE(중요_시점34[[#This Row],[요일]]))=0,"",IF(AND(AC$7=$E20,$F20=1),중요_시점_표식,"")),"")</f>
        <v/>
      </c>
      <c r="AD20" s="26" t="str">
        <f ca="1">IFERROR(IF(LEN(_xlfn.SINGLE(중요_시점34[[#This Row],[요일]]))=0,"",IF(AND(AD$7=$E20,$F20=1),중요_시점_표식,"")),"")</f>
        <v/>
      </c>
      <c r="AE20" s="26" t="str">
        <f ca="1">IFERROR(IF(LEN(_xlfn.SINGLE(중요_시점34[[#This Row],[요일]]))=0,"",IF(AND(AE$7=$E20,$F20=1),중요_시점_표식,"")),"")</f>
        <v/>
      </c>
      <c r="AF20" s="26" t="str">
        <f ca="1">IFERROR(IF(LEN(_xlfn.SINGLE(중요_시점34[[#This Row],[요일]]))=0,"",IF(AND(AF$7=$E20,$F20=1),중요_시점_표식,"")),"")</f>
        <v/>
      </c>
      <c r="AG20" s="26" t="str">
        <f ca="1">IFERROR(IF(LEN(_xlfn.SINGLE(중요_시점34[[#This Row],[요일]]))=0,"",IF(AND(AG$7=$E20,$F20=1),중요_시점_표식,"")),"")</f>
        <v/>
      </c>
      <c r="AH20" s="26" t="str">
        <f ca="1">IFERROR(IF(LEN(_xlfn.SINGLE(중요_시점34[[#This Row],[요일]]))=0,"",IF(AND(AH$7=$E20,$F20=1),중요_시점_표식,"")),"")</f>
        <v/>
      </c>
      <c r="AI20" s="26" t="str">
        <f ca="1">IFERROR(IF(LEN(_xlfn.SINGLE(중요_시점34[[#This Row],[요일]]))=0,"",IF(AND(AI$7=$E20,$F20=1),중요_시점_표식,"")),"")</f>
        <v/>
      </c>
      <c r="AJ20" s="26" t="str">
        <f ca="1">IFERROR(IF(LEN(_xlfn.SINGLE(중요_시점34[[#This Row],[요일]]))=0,"",IF(AND(AJ$7=$E20,$F20=1),중요_시점_표식,"")),"")</f>
        <v/>
      </c>
      <c r="AK20" s="26" t="str">
        <f ca="1">IFERROR(IF(LEN(_xlfn.SINGLE(중요_시점34[[#This Row],[요일]]))=0,"",IF(AND(AK$7=$E20,$F20=1),중요_시점_표식,"")),"")</f>
        <v/>
      </c>
      <c r="AL20" s="26" t="str">
        <f ca="1">IFERROR(IF(LEN(_xlfn.SINGLE(중요_시점34[[#This Row],[요일]]))=0,"",IF(AND(AL$7=$E20,$F20=1),중요_시점_표식,"")),"")</f>
        <v/>
      </c>
      <c r="AM20" s="26" t="str">
        <f ca="1">IFERROR(IF(LEN(_xlfn.SINGLE(중요_시점34[[#This Row],[요일]]))=0,"",IF(AND(AM$7=$E20,$F20=1),중요_시점_표식,"")),"")</f>
        <v/>
      </c>
      <c r="AN20" s="26" t="str">
        <f ca="1">IFERROR(IF(LEN(_xlfn.SINGLE(중요_시점34[[#This Row],[요일]]))=0,"",IF(AND(AN$7=$E20,$F20=1),중요_시점_표식,"")),"")</f>
        <v/>
      </c>
      <c r="AO20" s="26" t="str">
        <f ca="1">IFERROR(IF(LEN(_xlfn.SINGLE(중요_시점34[[#This Row],[요일]]))=0,"",IF(AND(AO$7=$E20,$F20=1),중요_시점_표식,"")),"")</f>
        <v/>
      </c>
      <c r="AP20" s="26" t="str">
        <f ca="1">IFERROR(IF(LEN(_xlfn.SINGLE(중요_시점34[[#This Row],[요일]]))=0,"",IF(AND(AP$7=$E20,$F20=1),중요_시점_표식,"")),"")</f>
        <v/>
      </c>
      <c r="AQ20" s="26" t="str">
        <f ca="1">IFERROR(IF(LEN(_xlfn.SINGLE(중요_시점34[[#This Row],[요일]]))=0,"",IF(AND(AQ$7=$E20,$F20=1),중요_시점_표식,"")),"")</f>
        <v/>
      </c>
      <c r="AR20" s="26" t="str">
        <f ca="1">IFERROR(IF(LEN(_xlfn.SINGLE(중요_시점34[[#This Row],[요일]]))=0,"",IF(AND(AR$7=$E20,$F20=1),중요_시점_표식,"")),"")</f>
        <v/>
      </c>
      <c r="AS20" s="26" t="str">
        <f ca="1">IFERROR(IF(LEN(_xlfn.SINGLE(중요_시점34[[#This Row],[요일]]))=0,"",IF(AND(AS$7=$E20,$F20=1),중요_시점_표식,"")),"")</f>
        <v/>
      </c>
      <c r="AT20" s="26" t="str">
        <f ca="1">IFERROR(IF(LEN(_xlfn.SINGLE(중요_시점34[[#This Row],[요일]]))=0,"",IF(AND(AT$7=$E20,$F20=1),중요_시점_표식,"")),"")</f>
        <v/>
      </c>
      <c r="AU20" s="26" t="str">
        <f ca="1">IFERROR(IF(LEN(_xlfn.SINGLE(중요_시점34[[#This Row],[요일]]))=0,"",IF(AND(AU$7=$E20,$F20=1),중요_시점_표식,"")),"")</f>
        <v/>
      </c>
      <c r="AV20" s="26" t="str">
        <f ca="1">IFERROR(IF(LEN(_xlfn.SINGLE(중요_시점34[[#This Row],[요일]]))=0,"",IF(AND(AV$7=$E20,$F20=1),중요_시점_표식,"")),"")</f>
        <v/>
      </c>
      <c r="AW20" s="26" t="str">
        <f ca="1">IFERROR(IF(LEN(_xlfn.SINGLE(중요_시점34[[#This Row],[요일]]))=0,"",IF(AND(AW$7=$E20,$F20=1),중요_시점_표식,"")),"")</f>
        <v/>
      </c>
      <c r="AX20" s="26" t="str">
        <f ca="1">IFERROR(IF(LEN(_xlfn.SINGLE(중요_시점34[[#This Row],[요일]]))=0,"",IF(AND(AX$7=$E20,$F20=1),중요_시점_표식,"")),"")</f>
        <v/>
      </c>
      <c r="AY20" s="26" t="str">
        <f ca="1">IFERROR(IF(LEN(_xlfn.SINGLE(중요_시점34[[#This Row],[요일]]))=0,"",IF(AND(AY$7=$E20,$F20=1),중요_시점_표식,"")),"")</f>
        <v/>
      </c>
      <c r="AZ20" s="26" t="str">
        <f ca="1">IFERROR(IF(LEN(_xlfn.SINGLE(중요_시점34[[#This Row],[요일]]))=0,"",IF(AND(AZ$7=$E20,$F20=1),중요_시점_표식,"")),"")</f>
        <v/>
      </c>
      <c r="BA20" s="26" t="str">
        <f ca="1">IFERROR(IF(LEN(_xlfn.SINGLE(중요_시점34[[#This Row],[요일]]))=0,"",IF(AND(BA$7=$E20,$F20=1),중요_시점_표식,"")),"")</f>
        <v/>
      </c>
      <c r="BB20" s="26" t="str">
        <f ca="1">IFERROR(IF(LEN(_xlfn.SINGLE(중요_시점34[[#This Row],[요일]]))=0,"",IF(AND(BB$7=$E20,$F20=1),중요_시점_표식,"")),"")</f>
        <v/>
      </c>
      <c r="BC20" s="26" t="str">
        <f ca="1">IFERROR(IF(LEN(_xlfn.SINGLE(중요_시점34[[#This Row],[요일]]))=0,"",IF(AND(BC$7=$E20,$F20=1),중요_시점_표식,"")),"")</f>
        <v/>
      </c>
      <c r="BD20" s="26" t="str">
        <f ca="1">IFERROR(IF(LEN(_xlfn.SINGLE(중요_시점34[[#This Row],[요일]]))=0,"",IF(AND(BD$7=$E20,$F20=1),중요_시점_표식,"")),"")</f>
        <v/>
      </c>
      <c r="BE20" s="26" t="str">
        <f ca="1">IFERROR(IF(LEN(_xlfn.SINGLE(중요_시점34[[#This Row],[요일]]))=0,"",IF(AND(BE$7=$E20,$F20=1),중요_시점_표식,"")),"")</f>
        <v/>
      </c>
      <c r="BF20" s="26" t="str">
        <f ca="1">IFERROR(IF(LEN(_xlfn.SINGLE(중요_시점34[[#This Row],[요일]]))=0,"",IF(AND(BF$7=$E20,$F20=1),중요_시점_표식,"")),"")</f>
        <v/>
      </c>
      <c r="BG20" s="26" t="str">
        <f ca="1">IFERROR(IF(LEN(_xlfn.SINGLE(중요_시점34[[#This Row],[요일]]))=0,"",IF(AND(BG$7=$E20,$F20=1),중요_시점_표식,"")),"")</f>
        <v/>
      </c>
      <c r="BH20" s="26" t="str">
        <f ca="1">IFERROR(IF(LEN(_xlfn.SINGLE(중요_시점34[[#This Row],[요일]]))=0,"",IF(AND(BH$7=$E20,$F20=1),중요_시점_표식,"")),"")</f>
        <v/>
      </c>
      <c r="BI20" s="26" t="str">
        <f ca="1">IFERROR(IF(LEN(_xlfn.SINGLE(중요_시점34[[#This Row],[요일]]))=0,"",IF(AND(BI$7=$E20,$F20=1),중요_시점_표식,"")),"")</f>
        <v/>
      </c>
      <c r="BJ20" s="26" t="str">
        <f ca="1">IFERROR(IF(LEN(_xlfn.SINGLE(중요_시점34[[#This Row],[요일]]))=0,"",IF(AND(BJ$7=$E20,$F20=1),중요_시점_표식,"")),"")</f>
        <v/>
      </c>
      <c r="BK20" s="26" t="str">
        <f ca="1">IFERROR(IF(LEN(_xlfn.SINGLE(중요_시점34[[#This Row],[요일]]))=0,"",IF(AND(BK$7=$E20,$F20=1),중요_시점_표식,"")),"")</f>
        <v/>
      </c>
    </row>
    <row r="21" spans="1:63" s="1" customFormat="1" ht="30" customHeight="1" outlineLevel="1">
      <c r="A21" s="5"/>
      <c r="B21" s="49" t="s">
        <v>14</v>
      </c>
      <c r="C21" s="13"/>
      <c r="D21" s="82"/>
      <c r="E21" s="42">
        <f ca="1">TODAY()+25</f>
        <v>44613</v>
      </c>
      <c r="F21" s="12">
        <v>24</v>
      </c>
      <c r="G21" s="27"/>
      <c r="H21" s="26" t="str">
        <f ca="1">IFERROR(IF(LEN(_xlfn.SINGLE(중요_시점34[[#This Row],[요일]]))=0,"",IF(AND(H$7=$E21,$F21=1),중요_시점_표식,"")),"")</f>
        <v/>
      </c>
      <c r="I21" s="26" t="str">
        <f ca="1">IFERROR(IF(LEN(_xlfn.SINGLE(중요_시점34[[#This Row],[요일]]))=0,"",IF(AND(I$7=$E21,$F21=1),중요_시점_표식,"")),"")</f>
        <v/>
      </c>
      <c r="J21" s="26" t="str">
        <f ca="1">IFERROR(IF(LEN(_xlfn.SINGLE(중요_시점34[[#This Row],[요일]]))=0,"",IF(AND(J$7=$E21,$F21=1),중요_시점_표식,"")),"")</f>
        <v/>
      </c>
      <c r="K21" s="26" t="str">
        <f ca="1">IFERROR(IF(LEN(_xlfn.SINGLE(중요_시점34[[#This Row],[요일]]))=0,"",IF(AND(K$7=$E21,$F21=1),중요_시점_표식,"")),"")</f>
        <v/>
      </c>
      <c r="L21" s="26" t="str">
        <f ca="1">IFERROR(IF(LEN(_xlfn.SINGLE(중요_시점34[[#This Row],[요일]]))=0,"",IF(AND(L$7=$E21,$F21=1),중요_시점_표식,"")),"")</f>
        <v/>
      </c>
      <c r="M21" s="26" t="str">
        <f ca="1">IFERROR(IF(LEN(_xlfn.SINGLE(중요_시점34[[#This Row],[요일]]))=0,"",IF(AND(M$7=$E21,$F21=1),중요_시점_표식,"")),"")</f>
        <v/>
      </c>
      <c r="N21" s="26" t="str">
        <f ca="1">IFERROR(IF(LEN(_xlfn.SINGLE(중요_시점34[[#This Row],[요일]]))=0,"",IF(AND(N$7=$E21,$F21=1),중요_시점_표식,"")),"")</f>
        <v/>
      </c>
      <c r="O21" s="26" t="str">
        <f ca="1">IFERROR(IF(LEN(_xlfn.SINGLE(중요_시점34[[#This Row],[요일]]))=0,"",IF(AND(O$7=$E21,$F21=1),중요_시점_표식,"")),"")</f>
        <v/>
      </c>
      <c r="P21" s="26" t="str">
        <f ca="1">IFERROR(IF(LEN(_xlfn.SINGLE(중요_시점34[[#This Row],[요일]]))=0,"",IF(AND(P$7=$E21,$F21=1),중요_시점_표식,"")),"")</f>
        <v/>
      </c>
      <c r="Q21" s="26" t="str">
        <f ca="1">IFERROR(IF(LEN(_xlfn.SINGLE(중요_시점34[[#This Row],[요일]]))=0,"",IF(AND(Q$7=$E21,$F21=1),중요_시점_표식,"")),"")</f>
        <v/>
      </c>
      <c r="R21" s="26" t="str">
        <f ca="1">IFERROR(IF(LEN(_xlfn.SINGLE(중요_시점34[[#This Row],[요일]]))=0,"",IF(AND(R$7=$E21,$F21=1),중요_시점_표식,"")),"")</f>
        <v/>
      </c>
      <c r="S21" s="26" t="str">
        <f ca="1">IFERROR(IF(LEN(_xlfn.SINGLE(중요_시점34[[#This Row],[요일]]))=0,"",IF(AND(S$7=$E21,$F21=1),중요_시점_표식,"")),"")</f>
        <v/>
      </c>
      <c r="T21" s="26" t="str">
        <f ca="1">IFERROR(IF(LEN(_xlfn.SINGLE(중요_시점34[[#This Row],[요일]]))=0,"",IF(AND(T$7=$E21,$F21=1),중요_시점_표식,"")),"")</f>
        <v/>
      </c>
      <c r="U21" s="26" t="str">
        <f ca="1">IFERROR(IF(LEN(_xlfn.SINGLE(중요_시점34[[#This Row],[요일]]))=0,"",IF(AND(U$7=$E21,$F21=1),중요_시점_표식,"")),"")</f>
        <v/>
      </c>
      <c r="V21" s="26" t="str">
        <f ca="1">IFERROR(IF(LEN(_xlfn.SINGLE(중요_시점34[[#This Row],[요일]]))=0,"",IF(AND(V$7=$E21,$F21=1),중요_시점_표식,"")),"")</f>
        <v/>
      </c>
      <c r="W21" s="26" t="str">
        <f ca="1">IFERROR(IF(LEN(_xlfn.SINGLE(중요_시점34[[#This Row],[요일]]))=0,"",IF(AND(W$7=$E21,$F21=1),중요_시점_표식,"")),"")</f>
        <v/>
      </c>
      <c r="X21" s="26" t="str">
        <f ca="1">IFERROR(IF(LEN(_xlfn.SINGLE(중요_시점34[[#This Row],[요일]]))=0,"",IF(AND(X$7=$E21,$F21=1),중요_시점_표식,"")),"")</f>
        <v/>
      </c>
      <c r="Y21" s="26" t="str">
        <f ca="1">IFERROR(IF(LEN(_xlfn.SINGLE(중요_시점34[[#This Row],[요일]]))=0,"",IF(AND(Y$7=$E21,$F21=1),중요_시점_표식,"")),"")</f>
        <v/>
      </c>
      <c r="Z21" s="26" t="str">
        <f ca="1">IFERROR(IF(LEN(_xlfn.SINGLE(중요_시점34[[#This Row],[요일]]))=0,"",IF(AND(Z$7=$E21,$F21=1),중요_시점_표식,"")),"")</f>
        <v/>
      </c>
      <c r="AA21" s="26" t="str">
        <f ca="1">IFERROR(IF(LEN(_xlfn.SINGLE(중요_시점34[[#This Row],[요일]]))=0,"",IF(AND(AA$7=$E21,$F21=1),중요_시점_표식,"")),"")</f>
        <v/>
      </c>
      <c r="AB21" s="26" t="str">
        <f ca="1">IFERROR(IF(LEN(_xlfn.SINGLE(중요_시점34[[#This Row],[요일]]))=0,"",IF(AND(AB$7=$E21,$F21=1),중요_시점_표식,"")),"")</f>
        <v/>
      </c>
      <c r="AC21" s="26" t="str">
        <f ca="1">IFERROR(IF(LEN(_xlfn.SINGLE(중요_시점34[[#This Row],[요일]]))=0,"",IF(AND(AC$7=$E21,$F21=1),중요_시점_표식,"")),"")</f>
        <v/>
      </c>
      <c r="AD21" s="26" t="str">
        <f ca="1">IFERROR(IF(LEN(_xlfn.SINGLE(중요_시점34[[#This Row],[요일]]))=0,"",IF(AND(AD$7=$E21,$F21=1),중요_시점_표식,"")),"")</f>
        <v/>
      </c>
      <c r="AE21" s="26" t="str">
        <f ca="1">IFERROR(IF(LEN(_xlfn.SINGLE(중요_시점34[[#This Row],[요일]]))=0,"",IF(AND(AE$7=$E21,$F21=1),중요_시점_표식,"")),"")</f>
        <v/>
      </c>
      <c r="AF21" s="26" t="str">
        <f ca="1">IFERROR(IF(LEN(_xlfn.SINGLE(중요_시점34[[#This Row],[요일]]))=0,"",IF(AND(AF$7=$E21,$F21=1),중요_시점_표식,"")),"")</f>
        <v/>
      </c>
      <c r="AG21" s="26" t="str">
        <f ca="1">IFERROR(IF(LEN(_xlfn.SINGLE(중요_시점34[[#This Row],[요일]]))=0,"",IF(AND(AG$7=$E21,$F21=1),중요_시점_표식,"")),"")</f>
        <v/>
      </c>
      <c r="AH21" s="26" t="str">
        <f ca="1">IFERROR(IF(LEN(_xlfn.SINGLE(중요_시점34[[#This Row],[요일]]))=0,"",IF(AND(AH$7=$E21,$F21=1),중요_시점_표식,"")),"")</f>
        <v/>
      </c>
      <c r="AI21" s="26" t="str">
        <f ca="1">IFERROR(IF(LEN(_xlfn.SINGLE(중요_시점34[[#This Row],[요일]]))=0,"",IF(AND(AI$7=$E21,$F21=1),중요_시점_표식,"")),"")</f>
        <v/>
      </c>
      <c r="AJ21" s="26" t="str">
        <f ca="1">IFERROR(IF(LEN(_xlfn.SINGLE(중요_시점34[[#This Row],[요일]]))=0,"",IF(AND(AJ$7=$E21,$F21=1),중요_시점_표식,"")),"")</f>
        <v/>
      </c>
      <c r="AK21" s="26" t="str">
        <f ca="1">IFERROR(IF(LEN(_xlfn.SINGLE(중요_시점34[[#This Row],[요일]]))=0,"",IF(AND(AK$7=$E21,$F21=1),중요_시점_표식,"")),"")</f>
        <v/>
      </c>
      <c r="AL21" s="26" t="str">
        <f ca="1">IFERROR(IF(LEN(_xlfn.SINGLE(중요_시점34[[#This Row],[요일]]))=0,"",IF(AND(AL$7=$E21,$F21=1),중요_시점_표식,"")),"")</f>
        <v/>
      </c>
      <c r="AM21" s="26" t="str">
        <f ca="1">IFERROR(IF(LEN(_xlfn.SINGLE(중요_시점34[[#This Row],[요일]]))=0,"",IF(AND(AM$7=$E21,$F21=1),중요_시점_표식,"")),"")</f>
        <v/>
      </c>
      <c r="AN21" s="26" t="str">
        <f ca="1">IFERROR(IF(LEN(_xlfn.SINGLE(중요_시점34[[#This Row],[요일]]))=0,"",IF(AND(AN$7=$E21,$F21=1),중요_시점_표식,"")),"")</f>
        <v/>
      </c>
      <c r="AO21" s="26" t="str">
        <f ca="1">IFERROR(IF(LEN(_xlfn.SINGLE(중요_시점34[[#This Row],[요일]]))=0,"",IF(AND(AO$7=$E21,$F21=1),중요_시점_표식,"")),"")</f>
        <v/>
      </c>
      <c r="AP21" s="26" t="str">
        <f ca="1">IFERROR(IF(LEN(_xlfn.SINGLE(중요_시점34[[#This Row],[요일]]))=0,"",IF(AND(AP$7=$E21,$F21=1),중요_시점_표식,"")),"")</f>
        <v/>
      </c>
      <c r="AQ21" s="26" t="str">
        <f ca="1">IFERROR(IF(LEN(_xlfn.SINGLE(중요_시점34[[#This Row],[요일]]))=0,"",IF(AND(AQ$7=$E21,$F21=1),중요_시점_표식,"")),"")</f>
        <v/>
      </c>
      <c r="AR21" s="26" t="str">
        <f ca="1">IFERROR(IF(LEN(_xlfn.SINGLE(중요_시점34[[#This Row],[요일]]))=0,"",IF(AND(AR$7=$E21,$F21=1),중요_시점_표식,"")),"")</f>
        <v/>
      </c>
      <c r="AS21" s="26" t="str">
        <f ca="1">IFERROR(IF(LEN(_xlfn.SINGLE(중요_시점34[[#This Row],[요일]]))=0,"",IF(AND(AS$7=$E21,$F21=1),중요_시점_표식,"")),"")</f>
        <v/>
      </c>
      <c r="AT21" s="26" t="str">
        <f ca="1">IFERROR(IF(LEN(_xlfn.SINGLE(중요_시점34[[#This Row],[요일]]))=0,"",IF(AND(AT$7=$E21,$F21=1),중요_시점_표식,"")),"")</f>
        <v/>
      </c>
      <c r="AU21" s="26" t="str">
        <f ca="1">IFERROR(IF(LEN(_xlfn.SINGLE(중요_시점34[[#This Row],[요일]]))=0,"",IF(AND(AU$7=$E21,$F21=1),중요_시점_표식,"")),"")</f>
        <v/>
      </c>
      <c r="AV21" s="26" t="str">
        <f ca="1">IFERROR(IF(LEN(_xlfn.SINGLE(중요_시점34[[#This Row],[요일]]))=0,"",IF(AND(AV$7=$E21,$F21=1),중요_시점_표식,"")),"")</f>
        <v/>
      </c>
      <c r="AW21" s="26" t="str">
        <f ca="1">IFERROR(IF(LEN(_xlfn.SINGLE(중요_시점34[[#This Row],[요일]]))=0,"",IF(AND(AW$7=$E21,$F21=1),중요_시점_표식,"")),"")</f>
        <v/>
      </c>
      <c r="AX21" s="26" t="str">
        <f ca="1">IFERROR(IF(LEN(_xlfn.SINGLE(중요_시점34[[#This Row],[요일]]))=0,"",IF(AND(AX$7=$E21,$F21=1),중요_시점_표식,"")),"")</f>
        <v/>
      </c>
      <c r="AY21" s="26" t="str">
        <f ca="1">IFERROR(IF(LEN(_xlfn.SINGLE(중요_시점34[[#This Row],[요일]]))=0,"",IF(AND(AY$7=$E21,$F21=1),중요_시점_표식,"")),"")</f>
        <v/>
      </c>
      <c r="AZ21" s="26" t="str">
        <f ca="1">IFERROR(IF(LEN(_xlfn.SINGLE(중요_시점34[[#This Row],[요일]]))=0,"",IF(AND(AZ$7=$E21,$F21=1),중요_시점_표식,"")),"")</f>
        <v/>
      </c>
      <c r="BA21" s="26" t="str">
        <f ca="1">IFERROR(IF(LEN(_xlfn.SINGLE(중요_시점34[[#This Row],[요일]]))=0,"",IF(AND(BA$7=$E21,$F21=1),중요_시점_표식,"")),"")</f>
        <v/>
      </c>
      <c r="BB21" s="26" t="str">
        <f ca="1">IFERROR(IF(LEN(_xlfn.SINGLE(중요_시점34[[#This Row],[요일]]))=0,"",IF(AND(BB$7=$E21,$F21=1),중요_시점_표식,"")),"")</f>
        <v/>
      </c>
      <c r="BC21" s="26" t="str">
        <f ca="1">IFERROR(IF(LEN(_xlfn.SINGLE(중요_시점34[[#This Row],[요일]]))=0,"",IF(AND(BC$7=$E21,$F21=1),중요_시점_표식,"")),"")</f>
        <v/>
      </c>
      <c r="BD21" s="26" t="str">
        <f ca="1">IFERROR(IF(LEN(_xlfn.SINGLE(중요_시점34[[#This Row],[요일]]))=0,"",IF(AND(BD$7=$E21,$F21=1),중요_시점_표식,"")),"")</f>
        <v/>
      </c>
      <c r="BE21" s="26" t="str">
        <f ca="1">IFERROR(IF(LEN(_xlfn.SINGLE(중요_시점34[[#This Row],[요일]]))=0,"",IF(AND(BE$7=$E21,$F21=1),중요_시점_표식,"")),"")</f>
        <v/>
      </c>
      <c r="BF21" s="26" t="str">
        <f ca="1">IFERROR(IF(LEN(_xlfn.SINGLE(중요_시점34[[#This Row],[요일]]))=0,"",IF(AND(BF$7=$E21,$F21=1),중요_시점_표식,"")),"")</f>
        <v/>
      </c>
      <c r="BG21" s="26" t="str">
        <f ca="1">IFERROR(IF(LEN(_xlfn.SINGLE(중요_시점34[[#This Row],[요일]]))=0,"",IF(AND(BG$7=$E21,$F21=1),중요_시점_표식,"")),"")</f>
        <v/>
      </c>
      <c r="BH21" s="26" t="str">
        <f ca="1">IFERROR(IF(LEN(_xlfn.SINGLE(중요_시점34[[#This Row],[요일]]))=0,"",IF(AND(BH$7=$E21,$F21=1),중요_시점_표식,"")),"")</f>
        <v/>
      </c>
      <c r="BI21" s="26" t="str">
        <f ca="1">IFERROR(IF(LEN(_xlfn.SINGLE(중요_시점34[[#This Row],[요일]]))=0,"",IF(AND(BI$7=$E21,$F21=1),중요_시점_표식,"")),"")</f>
        <v/>
      </c>
      <c r="BJ21" s="26" t="str">
        <f ca="1">IFERROR(IF(LEN(_xlfn.SINGLE(중요_시점34[[#This Row],[요일]]))=0,"",IF(AND(BJ$7=$E21,$F21=1),중요_시점_표식,"")),"")</f>
        <v/>
      </c>
      <c r="BK21" s="26" t="str">
        <f ca="1">IFERROR(IF(LEN(_xlfn.SINGLE(중요_시점34[[#This Row],[요일]]))=0,"",IF(AND(BK$7=$E21,$F21=1),중요_시점_표식,"")),"")</f>
        <v/>
      </c>
    </row>
    <row r="22" spans="1:63" s="1" customFormat="1" ht="30" customHeight="1">
      <c r="A22" s="5"/>
      <c r="B22" s="40" t="s">
        <v>16</v>
      </c>
      <c r="C22" s="13"/>
      <c r="D22" s="82"/>
      <c r="E22" s="42"/>
      <c r="F22" s="12"/>
      <c r="G22" s="27"/>
      <c r="H22" s="26" t="str">
        <f>IFERROR(IF(LEN(_xlfn.SINGLE(중요_시점34[[#This Row],[요일]]))=0,"",IF(AND(H$7=$E22,$F22=1),중요_시점_표식,"")),"")</f>
        <v/>
      </c>
      <c r="I22" s="26" t="str">
        <f>IFERROR(IF(LEN(_xlfn.SINGLE(중요_시점34[[#This Row],[요일]]))=0,"",IF(AND(I$7=$E22,$F22=1),중요_시점_표식,"")),"")</f>
        <v/>
      </c>
      <c r="J22" s="26" t="str">
        <f>IFERROR(IF(LEN(_xlfn.SINGLE(중요_시점34[[#This Row],[요일]]))=0,"",IF(AND(J$7=$E22,$F22=1),중요_시점_표식,"")),"")</f>
        <v/>
      </c>
      <c r="K22" s="26" t="str">
        <f>IFERROR(IF(LEN(_xlfn.SINGLE(중요_시점34[[#This Row],[요일]]))=0,"",IF(AND(K$7=$E22,$F22=1),중요_시점_표식,"")),"")</f>
        <v/>
      </c>
      <c r="L22" s="26" t="str">
        <f>IFERROR(IF(LEN(_xlfn.SINGLE(중요_시점34[[#This Row],[요일]]))=0,"",IF(AND(L$7=$E22,$F22=1),중요_시점_표식,"")),"")</f>
        <v/>
      </c>
      <c r="M22" s="26" t="str">
        <f>IFERROR(IF(LEN(_xlfn.SINGLE(중요_시점34[[#This Row],[요일]]))=0,"",IF(AND(M$7=$E22,$F22=1),중요_시점_표식,"")),"")</f>
        <v/>
      </c>
      <c r="N22" s="26" t="str">
        <f>IFERROR(IF(LEN(_xlfn.SINGLE(중요_시점34[[#This Row],[요일]]))=0,"",IF(AND(N$7=$E22,$F22=1),중요_시점_표식,"")),"")</f>
        <v/>
      </c>
      <c r="O22" s="26" t="str">
        <f>IFERROR(IF(LEN(_xlfn.SINGLE(중요_시점34[[#This Row],[요일]]))=0,"",IF(AND(O$7=$E22,$F22=1),중요_시점_표식,"")),"")</f>
        <v/>
      </c>
      <c r="P22" s="26" t="str">
        <f>IFERROR(IF(LEN(_xlfn.SINGLE(중요_시점34[[#This Row],[요일]]))=0,"",IF(AND(P$7=$E22,$F22=1),중요_시점_표식,"")),"")</f>
        <v/>
      </c>
      <c r="Q22" s="26" t="str">
        <f>IFERROR(IF(LEN(_xlfn.SINGLE(중요_시점34[[#This Row],[요일]]))=0,"",IF(AND(Q$7=$E22,$F22=1),중요_시점_표식,"")),"")</f>
        <v/>
      </c>
      <c r="R22" s="26" t="str">
        <f>IFERROR(IF(LEN(_xlfn.SINGLE(중요_시점34[[#This Row],[요일]]))=0,"",IF(AND(R$7=$E22,$F22=1),중요_시점_표식,"")),"")</f>
        <v/>
      </c>
      <c r="S22" s="26" t="str">
        <f>IFERROR(IF(LEN(_xlfn.SINGLE(중요_시점34[[#This Row],[요일]]))=0,"",IF(AND(S$7=$E22,$F22=1),중요_시점_표식,"")),"")</f>
        <v/>
      </c>
      <c r="T22" s="26" t="str">
        <f>IFERROR(IF(LEN(_xlfn.SINGLE(중요_시점34[[#This Row],[요일]]))=0,"",IF(AND(T$7=$E22,$F22=1),중요_시점_표식,"")),"")</f>
        <v/>
      </c>
      <c r="U22" s="26" t="str">
        <f>IFERROR(IF(LEN(_xlfn.SINGLE(중요_시점34[[#This Row],[요일]]))=0,"",IF(AND(U$7=$E22,$F22=1),중요_시점_표식,"")),"")</f>
        <v/>
      </c>
      <c r="V22" s="26" t="str">
        <f>IFERROR(IF(LEN(_xlfn.SINGLE(중요_시점34[[#This Row],[요일]]))=0,"",IF(AND(V$7=$E22,$F22=1),중요_시점_표식,"")),"")</f>
        <v/>
      </c>
      <c r="W22" s="26" t="str">
        <f>IFERROR(IF(LEN(_xlfn.SINGLE(중요_시점34[[#This Row],[요일]]))=0,"",IF(AND(W$7=$E22,$F22=1),중요_시점_표식,"")),"")</f>
        <v/>
      </c>
      <c r="X22" s="26" t="str">
        <f>IFERROR(IF(LEN(_xlfn.SINGLE(중요_시점34[[#This Row],[요일]]))=0,"",IF(AND(X$7=$E22,$F22=1),중요_시점_표식,"")),"")</f>
        <v/>
      </c>
      <c r="Y22" s="26" t="str">
        <f>IFERROR(IF(LEN(_xlfn.SINGLE(중요_시점34[[#This Row],[요일]]))=0,"",IF(AND(Y$7=$E22,$F22=1),중요_시점_표식,"")),"")</f>
        <v/>
      </c>
      <c r="Z22" s="26" t="str">
        <f>IFERROR(IF(LEN(_xlfn.SINGLE(중요_시점34[[#This Row],[요일]]))=0,"",IF(AND(Z$7=$E22,$F22=1),중요_시점_표식,"")),"")</f>
        <v/>
      </c>
      <c r="AA22" s="26" t="str">
        <f>IFERROR(IF(LEN(_xlfn.SINGLE(중요_시점34[[#This Row],[요일]]))=0,"",IF(AND(AA$7=$E22,$F22=1),중요_시점_표식,"")),"")</f>
        <v/>
      </c>
      <c r="AB22" s="26" t="str">
        <f>IFERROR(IF(LEN(_xlfn.SINGLE(중요_시점34[[#This Row],[요일]]))=0,"",IF(AND(AB$7=$E22,$F22=1),중요_시점_표식,"")),"")</f>
        <v/>
      </c>
      <c r="AC22" s="26" t="str">
        <f>IFERROR(IF(LEN(_xlfn.SINGLE(중요_시점34[[#This Row],[요일]]))=0,"",IF(AND(AC$7=$E22,$F22=1),중요_시점_표식,"")),"")</f>
        <v/>
      </c>
      <c r="AD22" s="26" t="str">
        <f>IFERROR(IF(LEN(_xlfn.SINGLE(중요_시점34[[#This Row],[요일]]))=0,"",IF(AND(AD$7=$E22,$F22=1),중요_시점_표식,"")),"")</f>
        <v/>
      </c>
      <c r="AE22" s="26" t="str">
        <f>IFERROR(IF(LEN(_xlfn.SINGLE(중요_시점34[[#This Row],[요일]]))=0,"",IF(AND(AE$7=$E22,$F22=1),중요_시점_표식,"")),"")</f>
        <v/>
      </c>
      <c r="AF22" s="26" t="str">
        <f>IFERROR(IF(LEN(_xlfn.SINGLE(중요_시점34[[#This Row],[요일]]))=0,"",IF(AND(AF$7=$E22,$F22=1),중요_시점_표식,"")),"")</f>
        <v/>
      </c>
      <c r="AG22" s="26" t="str">
        <f>IFERROR(IF(LEN(_xlfn.SINGLE(중요_시점34[[#This Row],[요일]]))=0,"",IF(AND(AG$7=$E22,$F22=1),중요_시점_표식,"")),"")</f>
        <v/>
      </c>
      <c r="AH22" s="26" t="str">
        <f>IFERROR(IF(LEN(_xlfn.SINGLE(중요_시점34[[#This Row],[요일]]))=0,"",IF(AND(AH$7=$E22,$F22=1),중요_시점_표식,"")),"")</f>
        <v/>
      </c>
      <c r="AI22" s="26" t="str">
        <f>IFERROR(IF(LEN(_xlfn.SINGLE(중요_시점34[[#This Row],[요일]]))=0,"",IF(AND(AI$7=$E22,$F22=1),중요_시점_표식,"")),"")</f>
        <v/>
      </c>
      <c r="AJ22" s="26" t="str">
        <f>IFERROR(IF(LEN(_xlfn.SINGLE(중요_시점34[[#This Row],[요일]]))=0,"",IF(AND(AJ$7=$E22,$F22=1),중요_시점_표식,"")),"")</f>
        <v/>
      </c>
      <c r="AK22" s="26" t="str">
        <f>IFERROR(IF(LEN(_xlfn.SINGLE(중요_시점34[[#This Row],[요일]]))=0,"",IF(AND(AK$7=$E22,$F22=1),중요_시점_표식,"")),"")</f>
        <v/>
      </c>
      <c r="AL22" s="26" t="str">
        <f>IFERROR(IF(LEN(_xlfn.SINGLE(중요_시점34[[#This Row],[요일]]))=0,"",IF(AND(AL$7=$E22,$F22=1),중요_시점_표식,"")),"")</f>
        <v/>
      </c>
      <c r="AM22" s="26" t="str">
        <f>IFERROR(IF(LEN(_xlfn.SINGLE(중요_시점34[[#This Row],[요일]]))=0,"",IF(AND(AM$7=$E22,$F22=1),중요_시점_표식,"")),"")</f>
        <v/>
      </c>
      <c r="AN22" s="26" t="str">
        <f>IFERROR(IF(LEN(_xlfn.SINGLE(중요_시점34[[#This Row],[요일]]))=0,"",IF(AND(AN$7=$E22,$F22=1),중요_시점_표식,"")),"")</f>
        <v/>
      </c>
      <c r="AO22" s="26" t="str">
        <f>IFERROR(IF(LEN(_xlfn.SINGLE(중요_시점34[[#This Row],[요일]]))=0,"",IF(AND(AO$7=$E22,$F22=1),중요_시점_표식,"")),"")</f>
        <v/>
      </c>
      <c r="AP22" s="26" t="str">
        <f>IFERROR(IF(LEN(_xlfn.SINGLE(중요_시점34[[#This Row],[요일]]))=0,"",IF(AND(AP$7=$E22,$F22=1),중요_시점_표식,"")),"")</f>
        <v/>
      </c>
      <c r="AQ22" s="26" t="str">
        <f>IFERROR(IF(LEN(_xlfn.SINGLE(중요_시점34[[#This Row],[요일]]))=0,"",IF(AND(AQ$7=$E22,$F22=1),중요_시점_표식,"")),"")</f>
        <v/>
      </c>
      <c r="AR22" s="26" t="str">
        <f>IFERROR(IF(LEN(_xlfn.SINGLE(중요_시점34[[#This Row],[요일]]))=0,"",IF(AND(AR$7=$E22,$F22=1),중요_시점_표식,"")),"")</f>
        <v/>
      </c>
      <c r="AS22" s="26" t="str">
        <f>IFERROR(IF(LEN(_xlfn.SINGLE(중요_시점34[[#This Row],[요일]]))=0,"",IF(AND(AS$7=$E22,$F22=1),중요_시점_표식,"")),"")</f>
        <v/>
      </c>
      <c r="AT22" s="26" t="str">
        <f>IFERROR(IF(LEN(_xlfn.SINGLE(중요_시점34[[#This Row],[요일]]))=0,"",IF(AND(AT$7=$E22,$F22=1),중요_시점_표식,"")),"")</f>
        <v/>
      </c>
      <c r="AU22" s="26" t="str">
        <f>IFERROR(IF(LEN(_xlfn.SINGLE(중요_시점34[[#This Row],[요일]]))=0,"",IF(AND(AU$7=$E22,$F22=1),중요_시점_표식,"")),"")</f>
        <v/>
      </c>
      <c r="AV22" s="26" t="str">
        <f>IFERROR(IF(LEN(_xlfn.SINGLE(중요_시점34[[#This Row],[요일]]))=0,"",IF(AND(AV$7=$E22,$F22=1),중요_시점_표식,"")),"")</f>
        <v/>
      </c>
      <c r="AW22" s="26" t="str">
        <f>IFERROR(IF(LEN(_xlfn.SINGLE(중요_시점34[[#This Row],[요일]]))=0,"",IF(AND(AW$7=$E22,$F22=1),중요_시점_표식,"")),"")</f>
        <v/>
      </c>
      <c r="AX22" s="26" t="str">
        <f>IFERROR(IF(LEN(_xlfn.SINGLE(중요_시점34[[#This Row],[요일]]))=0,"",IF(AND(AX$7=$E22,$F22=1),중요_시점_표식,"")),"")</f>
        <v/>
      </c>
      <c r="AY22" s="26" t="str">
        <f>IFERROR(IF(LEN(_xlfn.SINGLE(중요_시점34[[#This Row],[요일]]))=0,"",IF(AND(AY$7=$E22,$F22=1),중요_시점_표식,"")),"")</f>
        <v/>
      </c>
      <c r="AZ22" s="26" t="str">
        <f>IFERROR(IF(LEN(_xlfn.SINGLE(중요_시점34[[#This Row],[요일]]))=0,"",IF(AND(AZ$7=$E22,$F22=1),중요_시점_표식,"")),"")</f>
        <v/>
      </c>
      <c r="BA22" s="26" t="str">
        <f>IFERROR(IF(LEN(_xlfn.SINGLE(중요_시점34[[#This Row],[요일]]))=0,"",IF(AND(BA$7=$E22,$F22=1),중요_시점_표식,"")),"")</f>
        <v/>
      </c>
      <c r="BB22" s="26" t="str">
        <f>IFERROR(IF(LEN(_xlfn.SINGLE(중요_시점34[[#This Row],[요일]]))=0,"",IF(AND(BB$7=$E22,$F22=1),중요_시점_표식,"")),"")</f>
        <v/>
      </c>
      <c r="BC22" s="26" t="str">
        <f>IFERROR(IF(LEN(_xlfn.SINGLE(중요_시점34[[#This Row],[요일]]))=0,"",IF(AND(BC$7=$E22,$F22=1),중요_시점_표식,"")),"")</f>
        <v/>
      </c>
      <c r="BD22" s="26" t="str">
        <f>IFERROR(IF(LEN(_xlfn.SINGLE(중요_시점34[[#This Row],[요일]]))=0,"",IF(AND(BD$7=$E22,$F22=1),중요_시점_표식,"")),"")</f>
        <v/>
      </c>
      <c r="BE22" s="26" t="str">
        <f>IFERROR(IF(LEN(_xlfn.SINGLE(중요_시점34[[#This Row],[요일]]))=0,"",IF(AND(BE$7=$E22,$F22=1),중요_시점_표식,"")),"")</f>
        <v/>
      </c>
      <c r="BF22" s="26" t="str">
        <f>IFERROR(IF(LEN(_xlfn.SINGLE(중요_시점34[[#This Row],[요일]]))=0,"",IF(AND(BF$7=$E22,$F22=1),중요_시점_표식,"")),"")</f>
        <v/>
      </c>
      <c r="BG22" s="26" t="str">
        <f>IFERROR(IF(LEN(_xlfn.SINGLE(중요_시점34[[#This Row],[요일]]))=0,"",IF(AND(BG$7=$E22,$F22=1),중요_시점_표식,"")),"")</f>
        <v/>
      </c>
      <c r="BH22" s="26" t="str">
        <f>IFERROR(IF(LEN(_xlfn.SINGLE(중요_시점34[[#This Row],[요일]]))=0,"",IF(AND(BH$7=$E22,$F22=1),중요_시점_표식,"")),"")</f>
        <v/>
      </c>
      <c r="BI22" s="26" t="str">
        <f>IFERROR(IF(LEN(_xlfn.SINGLE(중요_시점34[[#This Row],[요일]]))=0,"",IF(AND(BI$7=$E22,$F22=1),중요_시점_표식,"")),"")</f>
        <v/>
      </c>
      <c r="BJ22" s="26" t="str">
        <f>IFERROR(IF(LEN(_xlfn.SINGLE(중요_시점34[[#This Row],[요일]]))=0,"",IF(AND(BJ$7=$E22,$F22=1),중요_시점_표식,"")),"")</f>
        <v/>
      </c>
      <c r="BK22" s="26" t="str">
        <f>IFERROR(IF(LEN(_xlfn.SINGLE(중요_시점34[[#This Row],[요일]]))=0,"",IF(AND(BK$7=$E22,$F22=1),중요_시점_표식,"")),"")</f>
        <v/>
      </c>
    </row>
    <row r="23" spans="1:63" s="1" customFormat="1" ht="30" customHeight="1" outlineLevel="1">
      <c r="A23" s="5"/>
      <c r="B23" s="49" t="s">
        <v>10</v>
      </c>
      <c r="C23" s="13"/>
      <c r="D23" s="82"/>
      <c r="E23" s="42">
        <f ca="1">TODAY()+15</f>
        <v>44603</v>
      </c>
      <c r="F23" s="12">
        <v>4</v>
      </c>
      <c r="G23" s="27"/>
      <c r="H23" s="26" t="str">
        <f ca="1">IFERROR(IF(LEN(_xlfn.SINGLE(중요_시점34[[#This Row],[요일]]))=0,"",IF(AND(H$7=$E23,$F23=1),중요_시점_표식,"")),"")</f>
        <v/>
      </c>
      <c r="I23" s="26" t="str">
        <f ca="1">IFERROR(IF(LEN(_xlfn.SINGLE(중요_시점34[[#This Row],[요일]]))=0,"",IF(AND(I$7=$E23,$F23=1),중요_시점_표식,"")),"")</f>
        <v/>
      </c>
      <c r="J23" s="26" t="str">
        <f ca="1">IFERROR(IF(LEN(_xlfn.SINGLE(중요_시점34[[#This Row],[요일]]))=0,"",IF(AND(J$7=$E23,$F23=1),중요_시점_표식,"")),"")</f>
        <v/>
      </c>
      <c r="K23" s="26" t="str">
        <f ca="1">IFERROR(IF(LEN(_xlfn.SINGLE(중요_시점34[[#This Row],[요일]]))=0,"",IF(AND(K$7=$E23,$F23=1),중요_시점_표식,"")),"")</f>
        <v/>
      </c>
      <c r="L23" s="26" t="str">
        <f ca="1">IFERROR(IF(LEN(_xlfn.SINGLE(중요_시점34[[#This Row],[요일]]))=0,"",IF(AND(L$7=$E23,$F23=1),중요_시점_표식,"")),"")</f>
        <v/>
      </c>
      <c r="M23" s="26" t="str">
        <f ca="1">IFERROR(IF(LEN(_xlfn.SINGLE(중요_시점34[[#This Row],[요일]]))=0,"",IF(AND(M$7=$E23,$F23=1),중요_시점_표식,"")),"")</f>
        <v/>
      </c>
      <c r="N23" s="26" t="str">
        <f ca="1">IFERROR(IF(LEN(_xlfn.SINGLE(중요_시점34[[#This Row],[요일]]))=0,"",IF(AND(N$7=$E23,$F23=1),중요_시점_표식,"")),"")</f>
        <v/>
      </c>
      <c r="O23" s="26" t="str">
        <f ca="1">IFERROR(IF(LEN(_xlfn.SINGLE(중요_시점34[[#This Row],[요일]]))=0,"",IF(AND(O$7=$E23,$F23=1),중요_시점_표식,"")),"")</f>
        <v/>
      </c>
      <c r="P23" s="26" t="str">
        <f ca="1">IFERROR(IF(LEN(_xlfn.SINGLE(중요_시점34[[#This Row],[요일]]))=0,"",IF(AND(P$7=$E23,$F23=1),중요_시점_표식,"")),"")</f>
        <v/>
      </c>
      <c r="Q23" s="26" t="str">
        <f ca="1">IFERROR(IF(LEN(_xlfn.SINGLE(중요_시점34[[#This Row],[요일]]))=0,"",IF(AND(Q$7=$E23,$F23=1),중요_시점_표식,"")),"")</f>
        <v/>
      </c>
      <c r="R23" s="26" t="str">
        <f ca="1">IFERROR(IF(LEN(_xlfn.SINGLE(중요_시점34[[#This Row],[요일]]))=0,"",IF(AND(R$7=$E23,$F23=1),중요_시점_표식,"")),"")</f>
        <v/>
      </c>
      <c r="S23" s="26" t="str">
        <f ca="1">IFERROR(IF(LEN(_xlfn.SINGLE(중요_시점34[[#This Row],[요일]]))=0,"",IF(AND(S$7=$E23,$F23=1),중요_시점_표식,"")),"")</f>
        <v/>
      </c>
      <c r="T23" s="26" t="str">
        <f ca="1">IFERROR(IF(LEN(_xlfn.SINGLE(중요_시점34[[#This Row],[요일]]))=0,"",IF(AND(T$7=$E23,$F23=1),중요_시점_표식,"")),"")</f>
        <v/>
      </c>
      <c r="U23" s="26" t="str">
        <f ca="1">IFERROR(IF(LEN(_xlfn.SINGLE(중요_시점34[[#This Row],[요일]]))=0,"",IF(AND(U$7=$E23,$F23=1),중요_시점_표식,"")),"")</f>
        <v/>
      </c>
      <c r="V23" s="26" t="str">
        <f ca="1">IFERROR(IF(LEN(_xlfn.SINGLE(중요_시점34[[#This Row],[요일]]))=0,"",IF(AND(V$7=$E23,$F23=1),중요_시점_표식,"")),"")</f>
        <v/>
      </c>
      <c r="W23" s="26" t="str">
        <f ca="1">IFERROR(IF(LEN(_xlfn.SINGLE(중요_시점34[[#This Row],[요일]]))=0,"",IF(AND(W$7=$E23,$F23=1),중요_시점_표식,"")),"")</f>
        <v/>
      </c>
      <c r="X23" s="26" t="str">
        <f ca="1">IFERROR(IF(LEN(_xlfn.SINGLE(중요_시점34[[#This Row],[요일]]))=0,"",IF(AND(X$7=$E23,$F23=1),중요_시점_표식,"")),"")</f>
        <v/>
      </c>
      <c r="Y23" s="26" t="str">
        <f ca="1">IFERROR(IF(LEN(_xlfn.SINGLE(중요_시점34[[#This Row],[요일]]))=0,"",IF(AND(Y$7=$E23,$F23=1),중요_시점_표식,"")),"")</f>
        <v/>
      </c>
      <c r="Z23" s="26" t="str">
        <f ca="1">IFERROR(IF(LEN(_xlfn.SINGLE(중요_시점34[[#This Row],[요일]]))=0,"",IF(AND(Z$7=$E23,$F23=1),중요_시점_표식,"")),"")</f>
        <v/>
      </c>
      <c r="AA23" s="26" t="str">
        <f ca="1">IFERROR(IF(LEN(_xlfn.SINGLE(중요_시점34[[#This Row],[요일]]))=0,"",IF(AND(AA$7=$E23,$F23=1),중요_시점_표식,"")),"")</f>
        <v/>
      </c>
      <c r="AB23" s="26" t="str">
        <f ca="1">IFERROR(IF(LEN(_xlfn.SINGLE(중요_시점34[[#This Row],[요일]]))=0,"",IF(AND(AB$7=$E23,$F23=1),중요_시점_표식,"")),"")</f>
        <v/>
      </c>
      <c r="AC23" s="26" t="str">
        <f ca="1">IFERROR(IF(LEN(_xlfn.SINGLE(중요_시점34[[#This Row],[요일]]))=0,"",IF(AND(AC$7=$E23,$F23=1),중요_시점_표식,"")),"")</f>
        <v/>
      </c>
      <c r="AD23" s="26" t="str">
        <f ca="1">IFERROR(IF(LEN(_xlfn.SINGLE(중요_시점34[[#This Row],[요일]]))=0,"",IF(AND(AD$7=$E23,$F23=1),중요_시점_표식,"")),"")</f>
        <v/>
      </c>
      <c r="AE23" s="26" t="str">
        <f ca="1">IFERROR(IF(LEN(_xlfn.SINGLE(중요_시점34[[#This Row],[요일]]))=0,"",IF(AND(AE$7=$E23,$F23=1),중요_시점_표식,"")),"")</f>
        <v/>
      </c>
      <c r="AF23" s="26" t="str">
        <f ca="1">IFERROR(IF(LEN(_xlfn.SINGLE(중요_시점34[[#This Row],[요일]]))=0,"",IF(AND(AF$7=$E23,$F23=1),중요_시점_표식,"")),"")</f>
        <v/>
      </c>
      <c r="AG23" s="26" t="str">
        <f ca="1">IFERROR(IF(LEN(_xlfn.SINGLE(중요_시점34[[#This Row],[요일]]))=0,"",IF(AND(AG$7=$E23,$F23=1),중요_시점_표식,"")),"")</f>
        <v/>
      </c>
      <c r="AH23" s="26" t="str">
        <f ca="1">IFERROR(IF(LEN(_xlfn.SINGLE(중요_시점34[[#This Row],[요일]]))=0,"",IF(AND(AH$7=$E23,$F23=1),중요_시점_표식,"")),"")</f>
        <v/>
      </c>
      <c r="AI23" s="26" t="str">
        <f ca="1">IFERROR(IF(LEN(_xlfn.SINGLE(중요_시점34[[#This Row],[요일]]))=0,"",IF(AND(AI$7=$E23,$F23=1),중요_시점_표식,"")),"")</f>
        <v/>
      </c>
      <c r="AJ23" s="26" t="str">
        <f ca="1">IFERROR(IF(LEN(_xlfn.SINGLE(중요_시점34[[#This Row],[요일]]))=0,"",IF(AND(AJ$7=$E23,$F23=1),중요_시점_표식,"")),"")</f>
        <v/>
      </c>
      <c r="AK23" s="26" t="str">
        <f ca="1">IFERROR(IF(LEN(_xlfn.SINGLE(중요_시점34[[#This Row],[요일]]))=0,"",IF(AND(AK$7=$E23,$F23=1),중요_시점_표식,"")),"")</f>
        <v/>
      </c>
      <c r="AL23" s="26" t="str">
        <f ca="1">IFERROR(IF(LEN(_xlfn.SINGLE(중요_시점34[[#This Row],[요일]]))=0,"",IF(AND(AL$7=$E23,$F23=1),중요_시점_표식,"")),"")</f>
        <v/>
      </c>
      <c r="AM23" s="26" t="str">
        <f ca="1">IFERROR(IF(LEN(_xlfn.SINGLE(중요_시점34[[#This Row],[요일]]))=0,"",IF(AND(AM$7=$E23,$F23=1),중요_시점_표식,"")),"")</f>
        <v/>
      </c>
      <c r="AN23" s="26" t="str">
        <f ca="1">IFERROR(IF(LEN(_xlfn.SINGLE(중요_시점34[[#This Row],[요일]]))=0,"",IF(AND(AN$7=$E23,$F23=1),중요_시점_표식,"")),"")</f>
        <v/>
      </c>
      <c r="AO23" s="26" t="str">
        <f ca="1">IFERROR(IF(LEN(_xlfn.SINGLE(중요_시점34[[#This Row],[요일]]))=0,"",IF(AND(AO$7=$E23,$F23=1),중요_시점_표식,"")),"")</f>
        <v/>
      </c>
      <c r="AP23" s="26" t="str">
        <f ca="1">IFERROR(IF(LEN(_xlfn.SINGLE(중요_시점34[[#This Row],[요일]]))=0,"",IF(AND(AP$7=$E23,$F23=1),중요_시점_표식,"")),"")</f>
        <v/>
      </c>
      <c r="AQ23" s="26" t="str">
        <f ca="1">IFERROR(IF(LEN(_xlfn.SINGLE(중요_시점34[[#This Row],[요일]]))=0,"",IF(AND(AQ$7=$E23,$F23=1),중요_시점_표식,"")),"")</f>
        <v/>
      </c>
      <c r="AR23" s="26" t="str">
        <f ca="1">IFERROR(IF(LEN(_xlfn.SINGLE(중요_시점34[[#This Row],[요일]]))=0,"",IF(AND(AR$7=$E23,$F23=1),중요_시점_표식,"")),"")</f>
        <v/>
      </c>
      <c r="AS23" s="26" t="str">
        <f ca="1">IFERROR(IF(LEN(_xlfn.SINGLE(중요_시점34[[#This Row],[요일]]))=0,"",IF(AND(AS$7=$E23,$F23=1),중요_시점_표식,"")),"")</f>
        <v/>
      </c>
      <c r="AT23" s="26" t="str">
        <f ca="1">IFERROR(IF(LEN(_xlfn.SINGLE(중요_시점34[[#This Row],[요일]]))=0,"",IF(AND(AT$7=$E23,$F23=1),중요_시점_표식,"")),"")</f>
        <v/>
      </c>
      <c r="AU23" s="26" t="str">
        <f ca="1">IFERROR(IF(LEN(_xlfn.SINGLE(중요_시점34[[#This Row],[요일]]))=0,"",IF(AND(AU$7=$E23,$F23=1),중요_시점_표식,"")),"")</f>
        <v/>
      </c>
      <c r="AV23" s="26" t="str">
        <f ca="1">IFERROR(IF(LEN(_xlfn.SINGLE(중요_시점34[[#This Row],[요일]]))=0,"",IF(AND(AV$7=$E23,$F23=1),중요_시점_표식,"")),"")</f>
        <v/>
      </c>
      <c r="AW23" s="26" t="str">
        <f ca="1">IFERROR(IF(LEN(_xlfn.SINGLE(중요_시점34[[#This Row],[요일]]))=0,"",IF(AND(AW$7=$E23,$F23=1),중요_시점_표식,"")),"")</f>
        <v/>
      </c>
      <c r="AX23" s="26" t="str">
        <f ca="1">IFERROR(IF(LEN(_xlfn.SINGLE(중요_시점34[[#This Row],[요일]]))=0,"",IF(AND(AX$7=$E23,$F23=1),중요_시점_표식,"")),"")</f>
        <v/>
      </c>
      <c r="AY23" s="26" t="str">
        <f ca="1">IFERROR(IF(LEN(_xlfn.SINGLE(중요_시점34[[#This Row],[요일]]))=0,"",IF(AND(AY$7=$E23,$F23=1),중요_시점_표식,"")),"")</f>
        <v/>
      </c>
      <c r="AZ23" s="26" t="str">
        <f ca="1">IFERROR(IF(LEN(_xlfn.SINGLE(중요_시점34[[#This Row],[요일]]))=0,"",IF(AND(AZ$7=$E23,$F23=1),중요_시점_표식,"")),"")</f>
        <v/>
      </c>
      <c r="BA23" s="26" t="str">
        <f ca="1">IFERROR(IF(LEN(_xlfn.SINGLE(중요_시점34[[#This Row],[요일]]))=0,"",IF(AND(BA$7=$E23,$F23=1),중요_시점_표식,"")),"")</f>
        <v/>
      </c>
      <c r="BB23" s="26" t="str">
        <f ca="1">IFERROR(IF(LEN(_xlfn.SINGLE(중요_시점34[[#This Row],[요일]]))=0,"",IF(AND(BB$7=$E23,$F23=1),중요_시점_표식,"")),"")</f>
        <v/>
      </c>
      <c r="BC23" s="26" t="str">
        <f ca="1">IFERROR(IF(LEN(_xlfn.SINGLE(중요_시점34[[#This Row],[요일]]))=0,"",IF(AND(BC$7=$E23,$F23=1),중요_시점_표식,"")),"")</f>
        <v/>
      </c>
      <c r="BD23" s="26" t="str">
        <f ca="1">IFERROR(IF(LEN(_xlfn.SINGLE(중요_시점34[[#This Row],[요일]]))=0,"",IF(AND(BD$7=$E23,$F23=1),중요_시점_표식,"")),"")</f>
        <v/>
      </c>
      <c r="BE23" s="26" t="str">
        <f ca="1">IFERROR(IF(LEN(_xlfn.SINGLE(중요_시점34[[#This Row],[요일]]))=0,"",IF(AND(BE$7=$E23,$F23=1),중요_시점_표식,"")),"")</f>
        <v/>
      </c>
      <c r="BF23" s="26" t="str">
        <f ca="1">IFERROR(IF(LEN(_xlfn.SINGLE(중요_시점34[[#This Row],[요일]]))=0,"",IF(AND(BF$7=$E23,$F23=1),중요_시점_표식,"")),"")</f>
        <v/>
      </c>
      <c r="BG23" s="26" t="str">
        <f ca="1">IFERROR(IF(LEN(_xlfn.SINGLE(중요_시점34[[#This Row],[요일]]))=0,"",IF(AND(BG$7=$E23,$F23=1),중요_시점_표식,"")),"")</f>
        <v/>
      </c>
      <c r="BH23" s="26" t="str">
        <f ca="1">IFERROR(IF(LEN(_xlfn.SINGLE(중요_시점34[[#This Row],[요일]]))=0,"",IF(AND(BH$7=$E23,$F23=1),중요_시점_표식,"")),"")</f>
        <v/>
      </c>
      <c r="BI23" s="26" t="str">
        <f ca="1">IFERROR(IF(LEN(_xlfn.SINGLE(중요_시점34[[#This Row],[요일]]))=0,"",IF(AND(BI$7=$E23,$F23=1),중요_시점_표식,"")),"")</f>
        <v/>
      </c>
      <c r="BJ23" s="26" t="str">
        <f ca="1">IFERROR(IF(LEN(_xlfn.SINGLE(중요_시점34[[#This Row],[요일]]))=0,"",IF(AND(BJ$7=$E23,$F23=1),중요_시점_표식,"")),"")</f>
        <v/>
      </c>
      <c r="BK23" s="26" t="str">
        <f ca="1">IFERROR(IF(LEN(_xlfn.SINGLE(중요_시점34[[#This Row],[요일]]))=0,"",IF(AND(BK$7=$E23,$F23=1),중요_시점_표식,"")),"")</f>
        <v/>
      </c>
    </row>
    <row r="24" spans="1:63" s="1" customFormat="1" ht="30" customHeight="1" outlineLevel="1">
      <c r="A24" s="5"/>
      <c r="B24" s="49" t="s">
        <v>11</v>
      </c>
      <c r="C24" s="13"/>
      <c r="D24" s="82"/>
      <c r="E24" s="42">
        <f ca="1">TODAY()+19</f>
        <v>44607</v>
      </c>
      <c r="F24" s="12">
        <v>14</v>
      </c>
      <c r="G24" s="27"/>
      <c r="H24" s="26" t="str">
        <f ca="1">IFERROR(IF(LEN(_xlfn.SINGLE(중요_시점34[[#This Row],[요일]]))=0,"",IF(AND(H$7=$E24,$F24=1),중요_시점_표식,"")),"")</f>
        <v/>
      </c>
      <c r="I24" s="26" t="str">
        <f ca="1">IFERROR(IF(LEN(_xlfn.SINGLE(중요_시점34[[#This Row],[요일]]))=0,"",IF(AND(I$7=$E24,$F24=1),중요_시점_표식,"")),"")</f>
        <v/>
      </c>
      <c r="J24" s="26" t="str">
        <f ca="1">IFERROR(IF(LEN(_xlfn.SINGLE(중요_시점34[[#This Row],[요일]]))=0,"",IF(AND(J$7=$E24,$F24=1),중요_시점_표식,"")),"")</f>
        <v/>
      </c>
      <c r="K24" s="26" t="str">
        <f ca="1">IFERROR(IF(LEN(_xlfn.SINGLE(중요_시점34[[#This Row],[요일]]))=0,"",IF(AND(K$7=$E24,$F24=1),중요_시점_표식,"")),"")</f>
        <v/>
      </c>
      <c r="L24" s="26" t="str">
        <f ca="1">IFERROR(IF(LEN(_xlfn.SINGLE(중요_시점34[[#This Row],[요일]]))=0,"",IF(AND(L$7=$E24,$F24=1),중요_시점_표식,"")),"")</f>
        <v/>
      </c>
      <c r="M24" s="26" t="str">
        <f ca="1">IFERROR(IF(LEN(_xlfn.SINGLE(중요_시점34[[#This Row],[요일]]))=0,"",IF(AND(M$7=$E24,$F24=1),중요_시점_표식,"")),"")</f>
        <v/>
      </c>
      <c r="N24" s="26" t="str">
        <f ca="1">IFERROR(IF(LEN(_xlfn.SINGLE(중요_시점34[[#This Row],[요일]]))=0,"",IF(AND(N$7=$E24,$F24=1),중요_시점_표식,"")),"")</f>
        <v/>
      </c>
      <c r="O24" s="26" t="str">
        <f ca="1">IFERROR(IF(LEN(_xlfn.SINGLE(중요_시점34[[#This Row],[요일]]))=0,"",IF(AND(O$7=$E24,$F24=1),중요_시점_표식,"")),"")</f>
        <v/>
      </c>
      <c r="P24" s="26" t="str">
        <f ca="1">IFERROR(IF(LEN(_xlfn.SINGLE(중요_시점34[[#This Row],[요일]]))=0,"",IF(AND(P$7=$E24,$F24=1),중요_시점_표식,"")),"")</f>
        <v/>
      </c>
      <c r="Q24" s="26" t="str">
        <f ca="1">IFERROR(IF(LEN(_xlfn.SINGLE(중요_시점34[[#This Row],[요일]]))=0,"",IF(AND(Q$7=$E24,$F24=1),중요_시점_표식,"")),"")</f>
        <v/>
      </c>
      <c r="R24" s="26" t="str">
        <f ca="1">IFERROR(IF(LEN(_xlfn.SINGLE(중요_시점34[[#This Row],[요일]]))=0,"",IF(AND(R$7=$E24,$F24=1),중요_시점_표식,"")),"")</f>
        <v/>
      </c>
      <c r="S24" s="26" t="str">
        <f ca="1">IFERROR(IF(LEN(_xlfn.SINGLE(중요_시점34[[#This Row],[요일]]))=0,"",IF(AND(S$7=$E24,$F24=1),중요_시점_표식,"")),"")</f>
        <v/>
      </c>
      <c r="T24" s="26" t="str">
        <f ca="1">IFERROR(IF(LEN(_xlfn.SINGLE(중요_시점34[[#This Row],[요일]]))=0,"",IF(AND(T$7=$E24,$F24=1),중요_시점_표식,"")),"")</f>
        <v/>
      </c>
      <c r="U24" s="26" t="str">
        <f ca="1">IFERROR(IF(LEN(_xlfn.SINGLE(중요_시점34[[#This Row],[요일]]))=0,"",IF(AND(U$7=$E24,$F24=1),중요_시점_표식,"")),"")</f>
        <v/>
      </c>
      <c r="V24" s="26" t="str">
        <f ca="1">IFERROR(IF(LEN(_xlfn.SINGLE(중요_시점34[[#This Row],[요일]]))=0,"",IF(AND(V$7=$E24,$F24=1),중요_시점_표식,"")),"")</f>
        <v/>
      </c>
      <c r="W24" s="26" t="str">
        <f ca="1">IFERROR(IF(LEN(_xlfn.SINGLE(중요_시점34[[#This Row],[요일]]))=0,"",IF(AND(W$7=$E24,$F24=1),중요_시점_표식,"")),"")</f>
        <v/>
      </c>
      <c r="X24" s="26" t="str">
        <f ca="1">IFERROR(IF(LEN(_xlfn.SINGLE(중요_시점34[[#This Row],[요일]]))=0,"",IF(AND(X$7=$E24,$F24=1),중요_시점_표식,"")),"")</f>
        <v/>
      </c>
      <c r="Y24" s="26" t="str">
        <f ca="1">IFERROR(IF(LEN(_xlfn.SINGLE(중요_시점34[[#This Row],[요일]]))=0,"",IF(AND(Y$7=$E24,$F24=1),중요_시점_표식,"")),"")</f>
        <v/>
      </c>
      <c r="Z24" s="26" t="str">
        <f ca="1">IFERROR(IF(LEN(_xlfn.SINGLE(중요_시점34[[#This Row],[요일]]))=0,"",IF(AND(Z$7=$E24,$F24=1),중요_시점_표식,"")),"")</f>
        <v/>
      </c>
      <c r="AA24" s="26" t="str">
        <f ca="1">IFERROR(IF(LEN(_xlfn.SINGLE(중요_시점34[[#This Row],[요일]]))=0,"",IF(AND(AA$7=$E24,$F24=1),중요_시점_표식,"")),"")</f>
        <v/>
      </c>
      <c r="AB24" s="26" t="str">
        <f ca="1">IFERROR(IF(LEN(_xlfn.SINGLE(중요_시점34[[#This Row],[요일]]))=0,"",IF(AND(AB$7=$E24,$F24=1),중요_시점_표식,"")),"")</f>
        <v/>
      </c>
      <c r="AC24" s="26" t="str">
        <f ca="1">IFERROR(IF(LEN(_xlfn.SINGLE(중요_시점34[[#This Row],[요일]]))=0,"",IF(AND(AC$7=$E24,$F24=1),중요_시점_표식,"")),"")</f>
        <v/>
      </c>
      <c r="AD24" s="26" t="str">
        <f ca="1">IFERROR(IF(LEN(_xlfn.SINGLE(중요_시점34[[#This Row],[요일]]))=0,"",IF(AND(AD$7=$E24,$F24=1),중요_시점_표식,"")),"")</f>
        <v/>
      </c>
      <c r="AE24" s="26" t="str">
        <f ca="1">IFERROR(IF(LEN(_xlfn.SINGLE(중요_시점34[[#This Row],[요일]]))=0,"",IF(AND(AE$7=$E24,$F24=1),중요_시점_표식,"")),"")</f>
        <v/>
      </c>
      <c r="AF24" s="26" t="str">
        <f ca="1">IFERROR(IF(LEN(_xlfn.SINGLE(중요_시점34[[#This Row],[요일]]))=0,"",IF(AND(AF$7=$E24,$F24=1),중요_시점_표식,"")),"")</f>
        <v/>
      </c>
      <c r="AG24" s="26" t="str">
        <f ca="1">IFERROR(IF(LEN(_xlfn.SINGLE(중요_시점34[[#This Row],[요일]]))=0,"",IF(AND(AG$7=$E24,$F24=1),중요_시점_표식,"")),"")</f>
        <v/>
      </c>
      <c r="AH24" s="26" t="str">
        <f ca="1">IFERROR(IF(LEN(_xlfn.SINGLE(중요_시점34[[#This Row],[요일]]))=0,"",IF(AND(AH$7=$E24,$F24=1),중요_시점_표식,"")),"")</f>
        <v/>
      </c>
      <c r="AI24" s="26" t="str">
        <f ca="1">IFERROR(IF(LEN(_xlfn.SINGLE(중요_시점34[[#This Row],[요일]]))=0,"",IF(AND(AI$7=$E24,$F24=1),중요_시점_표식,"")),"")</f>
        <v/>
      </c>
      <c r="AJ24" s="26" t="str">
        <f ca="1">IFERROR(IF(LEN(_xlfn.SINGLE(중요_시점34[[#This Row],[요일]]))=0,"",IF(AND(AJ$7=$E24,$F24=1),중요_시점_표식,"")),"")</f>
        <v/>
      </c>
      <c r="AK24" s="26" t="str">
        <f ca="1">IFERROR(IF(LEN(_xlfn.SINGLE(중요_시점34[[#This Row],[요일]]))=0,"",IF(AND(AK$7=$E24,$F24=1),중요_시점_표식,"")),"")</f>
        <v/>
      </c>
      <c r="AL24" s="26" t="str">
        <f ca="1">IFERROR(IF(LEN(_xlfn.SINGLE(중요_시점34[[#This Row],[요일]]))=0,"",IF(AND(AL$7=$E24,$F24=1),중요_시점_표식,"")),"")</f>
        <v/>
      </c>
      <c r="AM24" s="26" t="str">
        <f ca="1">IFERROR(IF(LEN(_xlfn.SINGLE(중요_시점34[[#This Row],[요일]]))=0,"",IF(AND(AM$7=$E24,$F24=1),중요_시점_표식,"")),"")</f>
        <v/>
      </c>
      <c r="AN24" s="26" t="str">
        <f ca="1">IFERROR(IF(LEN(_xlfn.SINGLE(중요_시점34[[#This Row],[요일]]))=0,"",IF(AND(AN$7=$E24,$F24=1),중요_시점_표식,"")),"")</f>
        <v/>
      </c>
      <c r="AO24" s="26" t="str">
        <f ca="1">IFERROR(IF(LEN(_xlfn.SINGLE(중요_시점34[[#This Row],[요일]]))=0,"",IF(AND(AO$7=$E24,$F24=1),중요_시점_표식,"")),"")</f>
        <v/>
      </c>
      <c r="AP24" s="26" t="str">
        <f ca="1">IFERROR(IF(LEN(_xlfn.SINGLE(중요_시점34[[#This Row],[요일]]))=0,"",IF(AND(AP$7=$E24,$F24=1),중요_시점_표식,"")),"")</f>
        <v/>
      </c>
      <c r="AQ24" s="26" t="str">
        <f ca="1">IFERROR(IF(LEN(_xlfn.SINGLE(중요_시점34[[#This Row],[요일]]))=0,"",IF(AND(AQ$7=$E24,$F24=1),중요_시점_표식,"")),"")</f>
        <v/>
      </c>
      <c r="AR24" s="26" t="str">
        <f ca="1">IFERROR(IF(LEN(_xlfn.SINGLE(중요_시점34[[#This Row],[요일]]))=0,"",IF(AND(AR$7=$E24,$F24=1),중요_시점_표식,"")),"")</f>
        <v/>
      </c>
      <c r="AS24" s="26" t="str">
        <f ca="1">IFERROR(IF(LEN(_xlfn.SINGLE(중요_시점34[[#This Row],[요일]]))=0,"",IF(AND(AS$7=$E24,$F24=1),중요_시점_표식,"")),"")</f>
        <v/>
      </c>
      <c r="AT24" s="26" t="str">
        <f ca="1">IFERROR(IF(LEN(_xlfn.SINGLE(중요_시점34[[#This Row],[요일]]))=0,"",IF(AND(AT$7=$E24,$F24=1),중요_시점_표식,"")),"")</f>
        <v/>
      </c>
      <c r="AU24" s="26" t="str">
        <f ca="1">IFERROR(IF(LEN(_xlfn.SINGLE(중요_시점34[[#This Row],[요일]]))=0,"",IF(AND(AU$7=$E24,$F24=1),중요_시점_표식,"")),"")</f>
        <v/>
      </c>
      <c r="AV24" s="26" t="str">
        <f ca="1">IFERROR(IF(LEN(_xlfn.SINGLE(중요_시점34[[#This Row],[요일]]))=0,"",IF(AND(AV$7=$E24,$F24=1),중요_시점_표식,"")),"")</f>
        <v/>
      </c>
      <c r="AW24" s="26" t="str">
        <f ca="1">IFERROR(IF(LEN(_xlfn.SINGLE(중요_시점34[[#This Row],[요일]]))=0,"",IF(AND(AW$7=$E24,$F24=1),중요_시점_표식,"")),"")</f>
        <v/>
      </c>
      <c r="AX24" s="26" t="str">
        <f ca="1">IFERROR(IF(LEN(_xlfn.SINGLE(중요_시점34[[#This Row],[요일]]))=0,"",IF(AND(AX$7=$E24,$F24=1),중요_시점_표식,"")),"")</f>
        <v/>
      </c>
      <c r="AY24" s="26" t="str">
        <f ca="1">IFERROR(IF(LEN(_xlfn.SINGLE(중요_시점34[[#This Row],[요일]]))=0,"",IF(AND(AY$7=$E24,$F24=1),중요_시점_표식,"")),"")</f>
        <v/>
      </c>
      <c r="AZ24" s="26" t="str">
        <f ca="1">IFERROR(IF(LEN(_xlfn.SINGLE(중요_시점34[[#This Row],[요일]]))=0,"",IF(AND(AZ$7=$E24,$F24=1),중요_시점_표식,"")),"")</f>
        <v/>
      </c>
      <c r="BA24" s="26" t="str">
        <f ca="1">IFERROR(IF(LEN(_xlfn.SINGLE(중요_시점34[[#This Row],[요일]]))=0,"",IF(AND(BA$7=$E24,$F24=1),중요_시점_표식,"")),"")</f>
        <v/>
      </c>
      <c r="BB24" s="26" t="str">
        <f ca="1">IFERROR(IF(LEN(_xlfn.SINGLE(중요_시점34[[#This Row],[요일]]))=0,"",IF(AND(BB$7=$E24,$F24=1),중요_시점_표식,"")),"")</f>
        <v/>
      </c>
      <c r="BC24" s="26" t="str">
        <f ca="1">IFERROR(IF(LEN(_xlfn.SINGLE(중요_시점34[[#This Row],[요일]]))=0,"",IF(AND(BC$7=$E24,$F24=1),중요_시점_표식,"")),"")</f>
        <v/>
      </c>
      <c r="BD24" s="26" t="str">
        <f ca="1">IFERROR(IF(LEN(_xlfn.SINGLE(중요_시점34[[#This Row],[요일]]))=0,"",IF(AND(BD$7=$E24,$F24=1),중요_시점_표식,"")),"")</f>
        <v/>
      </c>
      <c r="BE24" s="26" t="str">
        <f ca="1">IFERROR(IF(LEN(_xlfn.SINGLE(중요_시점34[[#This Row],[요일]]))=0,"",IF(AND(BE$7=$E24,$F24=1),중요_시점_표식,"")),"")</f>
        <v/>
      </c>
      <c r="BF24" s="26" t="str">
        <f ca="1">IFERROR(IF(LEN(_xlfn.SINGLE(중요_시점34[[#This Row],[요일]]))=0,"",IF(AND(BF$7=$E24,$F24=1),중요_시점_표식,"")),"")</f>
        <v/>
      </c>
      <c r="BG24" s="26" t="str">
        <f ca="1">IFERROR(IF(LEN(_xlfn.SINGLE(중요_시점34[[#This Row],[요일]]))=0,"",IF(AND(BG$7=$E24,$F24=1),중요_시점_표식,"")),"")</f>
        <v/>
      </c>
      <c r="BH24" s="26" t="str">
        <f ca="1">IFERROR(IF(LEN(_xlfn.SINGLE(중요_시점34[[#This Row],[요일]]))=0,"",IF(AND(BH$7=$E24,$F24=1),중요_시점_표식,"")),"")</f>
        <v/>
      </c>
      <c r="BI24" s="26" t="str">
        <f ca="1">IFERROR(IF(LEN(_xlfn.SINGLE(중요_시점34[[#This Row],[요일]]))=0,"",IF(AND(BI$7=$E24,$F24=1),중요_시점_표식,"")),"")</f>
        <v/>
      </c>
      <c r="BJ24" s="26" t="str">
        <f ca="1">IFERROR(IF(LEN(_xlfn.SINGLE(중요_시점34[[#This Row],[요일]]))=0,"",IF(AND(BJ$7=$E24,$F24=1),중요_시점_표식,"")),"")</f>
        <v/>
      </c>
      <c r="BK24" s="26" t="str">
        <f ca="1">IFERROR(IF(LEN(_xlfn.SINGLE(중요_시점34[[#This Row],[요일]]))=0,"",IF(AND(BK$7=$E24,$F24=1),중요_시점_표식,"")),"")</f>
        <v/>
      </c>
    </row>
    <row r="25" spans="1:63" s="1" customFormat="1" ht="30" customHeight="1" outlineLevel="1">
      <c r="A25" s="5"/>
      <c r="B25" s="49" t="s">
        <v>12</v>
      </c>
      <c r="C25" s="13"/>
      <c r="D25" s="82"/>
      <c r="E25" s="42">
        <f ca="1">TODAY()+35</f>
        <v>44623</v>
      </c>
      <c r="F25" s="12">
        <v>6</v>
      </c>
      <c r="G25" s="27"/>
      <c r="H25" s="26" t="str">
        <f ca="1">IFERROR(IF(LEN(_xlfn.SINGLE(중요_시점34[[#This Row],[요일]]))=0,"",IF(AND(H$7=$E25,$F25=1),중요_시점_표식,"")),"")</f>
        <v/>
      </c>
      <c r="I25" s="26" t="str">
        <f ca="1">IFERROR(IF(LEN(_xlfn.SINGLE(중요_시점34[[#This Row],[요일]]))=0,"",IF(AND(I$7=$E25,$F25=1),중요_시점_표식,"")),"")</f>
        <v/>
      </c>
      <c r="J25" s="26" t="str">
        <f ca="1">IFERROR(IF(LEN(_xlfn.SINGLE(중요_시점34[[#This Row],[요일]]))=0,"",IF(AND(J$7=$E25,$F25=1),중요_시점_표식,"")),"")</f>
        <v/>
      </c>
      <c r="K25" s="26" t="str">
        <f ca="1">IFERROR(IF(LEN(_xlfn.SINGLE(중요_시점34[[#This Row],[요일]]))=0,"",IF(AND(K$7=$E25,$F25=1),중요_시점_표식,"")),"")</f>
        <v/>
      </c>
      <c r="L25" s="26" t="str">
        <f ca="1">IFERROR(IF(LEN(_xlfn.SINGLE(중요_시점34[[#This Row],[요일]]))=0,"",IF(AND(L$7=$E25,$F25=1),중요_시점_표식,"")),"")</f>
        <v/>
      </c>
      <c r="M25" s="26" t="str">
        <f ca="1">IFERROR(IF(LEN(_xlfn.SINGLE(중요_시점34[[#This Row],[요일]]))=0,"",IF(AND(M$7=$E25,$F25=1),중요_시점_표식,"")),"")</f>
        <v/>
      </c>
      <c r="N25" s="26" t="str">
        <f ca="1">IFERROR(IF(LEN(_xlfn.SINGLE(중요_시점34[[#This Row],[요일]]))=0,"",IF(AND(N$7=$E25,$F25=1),중요_시점_표식,"")),"")</f>
        <v/>
      </c>
      <c r="O25" s="26" t="str">
        <f ca="1">IFERROR(IF(LEN(_xlfn.SINGLE(중요_시점34[[#This Row],[요일]]))=0,"",IF(AND(O$7=$E25,$F25=1),중요_시점_표식,"")),"")</f>
        <v/>
      </c>
      <c r="P25" s="26" t="str">
        <f ca="1">IFERROR(IF(LEN(_xlfn.SINGLE(중요_시점34[[#This Row],[요일]]))=0,"",IF(AND(P$7=$E25,$F25=1),중요_시점_표식,"")),"")</f>
        <v/>
      </c>
      <c r="Q25" s="26" t="str">
        <f ca="1">IFERROR(IF(LEN(_xlfn.SINGLE(중요_시점34[[#This Row],[요일]]))=0,"",IF(AND(Q$7=$E25,$F25=1),중요_시점_표식,"")),"")</f>
        <v/>
      </c>
      <c r="R25" s="26" t="str">
        <f ca="1">IFERROR(IF(LEN(_xlfn.SINGLE(중요_시점34[[#This Row],[요일]]))=0,"",IF(AND(R$7=$E25,$F25=1),중요_시점_표식,"")),"")</f>
        <v/>
      </c>
      <c r="S25" s="26" t="str">
        <f ca="1">IFERROR(IF(LEN(_xlfn.SINGLE(중요_시점34[[#This Row],[요일]]))=0,"",IF(AND(S$7=$E25,$F25=1),중요_시점_표식,"")),"")</f>
        <v/>
      </c>
      <c r="T25" s="26" t="str">
        <f ca="1">IFERROR(IF(LEN(_xlfn.SINGLE(중요_시점34[[#This Row],[요일]]))=0,"",IF(AND(T$7=$E25,$F25=1),중요_시점_표식,"")),"")</f>
        <v/>
      </c>
      <c r="U25" s="26" t="str">
        <f ca="1">IFERROR(IF(LEN(_xlfn.SINGLE(중요_시점34[[#This Row],[요일]]))=0,"",IF(AND(U$7=$E25,$F25=1),중요_시점_표식,"")),"")</f>
        <v/>
      </c>
      <c r="V25" s="26" t="str">
        <f ca="1">IFERROR(IF(LEN(_xlfn.SINGLE(중요_시점34[[#This Row],[요일]]))=0,"",IF(AND(V$7=$E25,$F25=1),중요_시점_표식,"")),"")</f>
        <v/>
      </c>
      <c r="W25" s="26" t="str">
        <f ca="1">IFERROR(IF(LEN(_xlfn.SINGLE(중요_시점34[[#This Row],[요일]]))=0,"",IF(AND(W$7=$E25,$F25=1),중요_시점_표식,"")),"")</f>
        <v/>
      </c>
      <c r="X25" s="26" t="str">
        <f ca="1">IFERROR(IF(LEN(_xlfn.SINGLE(중요_시점34[[#This Row],[요일]]))=0,"",IF(AND(X$7=$E25,$F25=1),중요_시점_표식,"")),"")</f>
        <v/>
      </c>
      <c r="Y25" s="26" t="str">
        <f ca="1">IFERROR(IF(LEN(_xlfn.SINGLE(중요_시점34[[#This Row],[요일]]))=0,"",IF(AND(Y$7=$E25,$F25=1),중요_시점_표식,"")),"")</f>
        <v/>
      </c>
      <c r="Z25" s="26" t="str">
        <f ca="1">IFERROR(IF(LEN(_xlfn.SINGLE(중요_시점34[[#This Row],[요일]]))=0,"",IF(AND(Z$7=$E25,$F25=1),중요_시점_표식,"")),"")</f>
        <v/>
      </c>
      <c r="AA25" s="26" t="str">
        <f ca="1">IFERROR(IF(LEN(_xlfn.SINGLE(중요_시점34[[#This Row],[요일]]))=0,"",IF(AND(AA$7=$E25,$F25=1),중요_시점_표식,"")),"")</f>
        <v/>
      </c>
      <c r="AB25" s="26" t="str">
        <f ca="1">IFERROR(IF(LEN(_xlfn.SINGLE(중요_시점34[[#This Row],[요일]]))=0,"",IF(AND(AB$7=$E25,$F25=1),중요_시점_표식,"")),"")</f>
        <v/>
      </c>
      <c r="AC25" s="26" t="str">
        <f ca="1">IFERROR(IF(LEN(_xlfn.SINGLE(중요_시점34[[#This Row],[요일]]))=0,"",IF(AND(AC$7=$E25,$F25=1),중요_시점_표식,"")),"")</f>
        <v/>
      </c>
      <c r="AD25" s="26" t="str">
        <f ca="1">IFERROR(IF(LEN(_xlfn.SINGLE(중요_시점34[[#This Row],[요일]]))=0,"",IF(AND(AD$7=$E25,$F25=1),중요_시점_표식,"")),"")</f>
        <v/>
      </c>
      <c r="AE25" s="26" t="str">
        <f ca="1">IFERROR(IF(LEN(_xlfn.SINGLE(중요_시점34[[#This Row],[요일]]))=0,"",IF(AND(AE$7=$E25,$F25=1),중요_시점_표식,"")),"")</f>
        <v/>
      </c>
      <c r="AF25" s="26" t="str">
        <f ca="1">IFERROR(IF(LEN(_xlfn.SINGLE(중요_시점34[[#This Row],[요일]]))=0,"",IF(AND(AF$7=$E25,$F25=1),중요_시점_표식,"")),"")</f>
        <v/>
      </c>
      <c r="AG25" s="26" t="str">
        <f ca="1">IFERROR(IF(LEN(_xlfn.SINGLE(중요_시점34[[#This Row],[요일]]))=0,"",IF(AND(AG$7=$E25,$F25=1),중요_시점_표식,"")),"")</f>
        <v/>
      </c>
      <c r="AH25" s="26" t="str">
        <f ca="1">IFERROR(IF(LEN(_xlfn.SINGLE(중요_시점34[[#This Row],[요일]]))=0,"",IF(AND(AH$7=$E25,$F25=1),중요_시점_표식,"")),"")</f>
        <v/>
      </c>
      <c r="AI25" s="26" t="str">
        <f ca="1">IFERROR(IF(LEN(_xlfn.SINGLE(중요_시점34[[#This Row],[요일]]))=0,"",IF(AND(AI$7=$E25,$F25=1),중요_시점_표식,"")),"")</f>
        <v/>
      </c>
      <c r="AJ25" s="26" t="str">
        <f ca="1">IFERROR(IF(LEN(_xlfn.SINGLE(중요_시점34[[#This Row],[요일]]))=0,"",IF(AND(AJ$7=$E25,$F25=1),중요_시점_표식,"")),"")</f>
        <v/>
      </c>
      <c r="AK25" s="26" t="str">
        <f ca="1">IFERROR(IF(LEN(_xlfn.SINGLE(중요_시점34[[#This Row],[요일]]))=0,"",IF(AND(AK$7=$E25,$F25=1),중요_시점_표식,"")),"")</f>
        <v/>
      </c>
      <c r="AL25" s="26" t="str">
        <f ca="1">IFERROR(IF(LEN(_xlfn.SINGLE(중요_시점34[[#This Row],[요일]]))=0,"",IF(AND(AL$7=$E25,$F25=1),중요_시점_표식,"")),"")</f>
        <v/>
      </c>
      <c r="AM25" s="26" t="str">
        <f ca="1">IFERROR(IF(LEN(_xlfn.SINGLE(중요_시점34[[#This Row],[요일]]))=0,"",IF(AND(AM$7=$E25,$F25=1),중요_시점_표식,"")),"")</f>
        <v/>
      </c>
      <c r="AN25" s="26" t="str">
        <f ca="1">IFERROR(IF(LEN(_xlfn.SINGLE(중요_시점34[[#This Row],[요일]]))=0,"",IF(AND(AN$7=$E25,$F25=1),중요_시점_표식,"")),"")</f>
        <v/>
      </c>
      <c r="AO25" s="26" t="str">
        <f ca="1">IFERROR(IF(LEN(_xlfn.SINGLE(중요_시점34[[#This Row],[요일]]))=0,"",IF(AND(AO$7=$E25,$F25=1),중요_시점_표식,"")),"")</f>
        <v/>
      </c>
      <c r="AP25" s="26" t="str">
        <f ca="1">IFERROR(IF(LEN(_xlfn.SINGLE(중요_시점34[[#This Row],[요일]]))=0,"",IF(AND(AP$7=$E25,$F25=1),중요_시점_표식,"")),"")</f>
        <v/>
      </c>
      <c r="AQ25" s="26" t="str">
        <f ca="1">IFERROR(IF(LEN(_xlfn.SINGLE(중요_시점34[[#This Row],[요일]]))=0,"",IF(AND(AQ$7=$E25,$F25=1),중요_시점_표식,"")),"")</f>
        <v/>
      </c>
      <c r="AR25" s="26" t="str">
        <f ca="1">IFERROR(IF(LEN(_xlfn.SINGLE(중요_시점34[[#This Row],[요일]]))=0,"",IF(AND(AR$7=$E25,$F25=1),중요_시점_표식,"")),"")</f>
        <v/>
      </c>
      <c r="AS25" s="26" t="str">
        <f ca="1">IFERROR(IF(LEN(_xlfn.SINGLE(중요_시점34[[#This Row],[요일]]))=0,"",IF(AND(AS$7=$E25,$F25=1),중요_시점_표식,"")),"")</f>
        <v/>
      </c>
      <c r="AT25" s="26" t="str">
        <f ca="1">IFERROR(IF(LEN(_xlfn.SINGLE(중요_시점34[[#This Row],[요일]]))=0,"",IF(AND(AT$7=$E25,$F25=1),중요_시점_표식,"")),"")</f>
        <v/>
      </c>
      <c r="AU25" s="26" t="str">
        <f ca="1">IFERROR(IF(LEN(_xlfn.SINGLE(중요_시점34[[#This Row],[요일]]))=0,"",IF(AND(AU$7=$E25,$F25=1),중요_시점_표식,"")),"")</f>
        <v/>
      </c>
      <c r="AV25" s="26" t="str">
        <f ca="1">IFERROR(IF(LEN(_xlfn.SINGLE(중요_시점34[[#This Row],[요일]]))=0,"",IF(AND(AV$7=$E25,$F25=1),중요_시점_표식,"")),"")</f>
        <v/>
      </c>
      <c r="AW25" s="26" t="str">
        <f ca="1">IFERROR(IF(LEN(_xlfn.SINGLE(중요_시점34[[#This Row],[요일]]))=0,"",IF(AND(AW$7=$E25,$F25=1),중요_시점_표식,"")),"")</f>
        <v/>
      </c>
      <c r="AX25" s="26" t="str">
        <f ca="1">IFERROR(IF(LEN(_xlfn.SINGLE(중요_시점34[[#This Row],[요일]]))=0,"",IF(AND(AX$7=$E25,$F25=1),중요_시점_표식,"")),"")</f>
        <v/>
      </c>
      <c r="AY25" s="26" t="str">
        <f ca="1">IFERROR(IF(LEN(_xlfn.SINGLE(중요_시점34[[#This Row],[요일]]))=0,"",IF(AND(AY$7=$E25,$F25=1),중요_시점_표식,"")),"")</f>
        <v/>
      </c>
      <c r="AZ25" s="26" t="str">
        <f ca="1">IFERROR(IF(LEN(_xlfn.SINGLE(중요_시점34[[#This Row],[요일]]))=0,"",IF(AND(AZ$7=$E25,$F25=1),중요_시점_표식,"")),"")</f>
        <v/>
      </c>
      <c r="BA25" s="26" t="str">
        <f ca="1">IFERROR(IF(LEN(_xlfn.SINGLE(중요_시점34[[#This Row],[요일]]))=0,"",IF(AND(BA$7=$E25,$F25=1),중요_시점_표식,"")),"")</f>
        <v/>
      </c>
      <c r="BB25" s="26" t="str">
        <f ca="1">IFERROR(IF(LEN(_xlfn.SINGLE(중요_시점34[[#This Row],[요일]]))=0,"",IF(AND(BB$7=$E25,$F25=1),중요_시점_표식,"")),"")</f>
        <v/>
      </c>
      <c r="BC25" s="26" t="str">
        <f ca="1">IFERROR(IF(LEN(_xlfn.SINGLE(중요_시점34[[#This Row],[요일]]))=0,"",IF(AND(BC$7=$E25,$F25=1),중요_시점_표식,"")),"")</f>
        <v/>
      </c>
      <c r="BD25" s="26" t="str">
        <f ca="1">IFERROR(IF(LEN(_xlfn.SINGLE(중요_시점34[[#This Row],[요일]]))=0,"",IF(AND(BD$7=$E25,$F25=1),중요_시점_표식,"")),"")</f>
        <v/>
      </c>
      <c r="BE25" s="26" t="str">
        <f ca="1">IFERROR(IF(LEN(_xlfn.SINGLE(중요_시점34[[#This Row],[요일]]))=0,"",IF(AND(BE$7=$E25,$F25=1),중요_시점_표식,"")),"")</f>
        <v/>
      </c>
      <c r="BF25" s="26" t="str">
        <f ca="1">IFERROR(IF(LEN(_xlfn.SINGLE(중요_시점34[[#This Row],[요일]]))=0,"",IF(AND(BF$7=$E25,$F25=1),중요_시점_표식,"")),"")</f>
        <v/>
      </c>
      <c r="BG25" s="26" t="str">
        <f ca="1">IFERROR(IF(LEN(_xlfn.SINGLE(중요_시점34[[#This Row],[요일]]))=0,"",IF(AND(BG$7=$E25,$F25=1),중요_시점_표식,"")),"")</f>
        <v/>
      </c>
      <c r="BH25" s="26" t="str">
        <f ca="1">IFERROR(IF(LEN(_xlfn.SINGLE(중요_시점34[[#This Row],[요일]]))=0,"",IF(AND(BH$7=$E25,$F25=1),중요_시점_표식,"")),"")</f>
        <v/>
      </c>
      <c r="BI25" s="26" t="str">
        <f ca="1">IFERROR(IF(LEN(_xlfn.SINGLE(중요_시점34[[#This Row],[요일]]))=0,"",IF(AND(BI$7=$E25,$F25=1),중요_시점_표식,"")),"")</f>
        <v/>
      </c>
      <c r="BJ25" s="26" t="str">
        <f ca="1">IFERROR(IF(LEN(_xlfn.SINGLE(중요_시점34[[#This Row],[요일]]))=0,"",IF(AND(BJ$7=$E25,$F25=1),중요_시점_표식,"")),"")</f>
        <v/>
      </c>
      <c r="BK25" s="26" t="str">
        <f ca="1">IFERROR(IF(LEN(_xlfn.SINGLE(중요_시점34[[#This Row],[요일]]))=0,"",IF(AND(BK$7=$E25,$F25=1),중요_시점_표식,"")),"")</f>
        <v/>
      </c>
    </row>
    <row r="26" spans="1:63" s="1" customFormat="1" ht="30" customHeight="1" outlineLevel="1">
      <c r="A26" s="5"/>
      <c r="B26" s="49" t="s">
        <v>13</v>
      </c>
      <c r="C26" s="13"/>
      <c r="D26" s="82"/>
      <c r="E26" s="42">
        <f ca="1">TODAY()+48</f>
        <v>44636</v>
      </c>
      <c r="F26" s="12">
        <v>3</v>
      </c>
      <c r="G26" s="27"/>
      <c r="H26" s="26" t="str">
        <f ca="1">IFERROR(IF(LEN(_xlfn.SINGLE(중요_시점34[[#This Row],[요일]]))=0,"",IF(AND(H$7=$E26,$F26=1),중요_시점_표식,"")),"")</f>
        <v/>
      </c>
      <c r="I26" s="26" t="str">
        <f ca="1">IFERROR(IF(LEN(_xlfn.SINGLE(중요_시점34[[#This Row],[요일]]))=0,"",IF(AND(I$7=$E26,$F26=1),중요_시점_표식,"")),"")</f>
        <v/>
      </c>
      <c r="J26" s="26" t="str">
        <f ca="1">IFERROR(IF(LEN(_xlfn.SINGLE(중요_시점34[[#This Row],[요일]]))=0,"",IF(AND(J$7=$E26,$F26=1),중요_시점_표식,"")),"")</f>
        <v/>
      </c>
      <c r="K26" s="26" t="str">
        <f ca="1">IFERROR(IF(LEN(_xlfn.SINGLE(중요_시점34[[#This Row],[요일]]))=0,"",IF(AND(K$7=$E26,$F26=1),중요_시점_표식,"")),"")</f>
        <v/>
      </c>
      <c r="L26" s="26" t="str">
        <f ca="1">IFERROR(IF(LEN(_xlfn.SINGLE(중요_시점34[[#This Row],[요일]]))=0,"",IF(AND(L$7=$E26,$F26=1),중요_시점_표식,"")),"")</f>
        <v/>
      </c>
      <c r="M26" s="26" t="str">
        <f ca="1">IFERROR(IF(LEN(_xlfn.SINGLE(중요_시점34[[#This Row],[요일]]))=0,"",IF(AND(M$7=$E26,$F26=1),중요_시점_표식,"")),"")</f>
        <v/>
      </c>
      <c r="N26" s="26" t="str">
        <f ca="1">IFERROR(IF(LEN(_xlfn.SINGLE(중요_시점34[[#This Row],[요일]]))=0,"",IF(AND(N$7=$E26,$F26=1),중요_시점_표식,"")),"")</f>
        <v/>
      </c>
      <c r="O26" s="26" t="str">
        <f ca="1">IFERROR(IF(LEN(_xlfn.SINGLE(중요_시점34[[#This Row],[요일]]))=0,"",IF(AND(O$7=$E26,$F26=1),중요_시점_표식,"")),"")</f>
        <v/>
      </c>
      <c r="P26" s="26" t="str">
        <f ca="1">IFERROR(IF(LEN(_xlfn.SINGLE(중요_시점34[[#This Row],[요일]]))=0,"",IF(AND(P$7=$E26,$F26=1),중요_시점_표식,"")),"")</f>
        <v/>
      </c>
      <c r="Q26" s="26" t="str">
        <f ca="1">IFERROR(IF(LEN(_xlfn.SINGLE(중요_시점34[[#This Row],[요일]]))=0,"",IF(AND(Q$7=$E26,$F26=1),중요_시점_표식,"")),"")</f>
        <v/>
      </c>
      <c r="R26" s="26" t="str">
        <f ca="1">IFERROR(IF(LEN(_xlfn.SINGLE(중요_시점34[[#This Row],[요일]]))=0,"",IF(AND(R$7=$E26,$F26=1),중요_시점_표식,"")),"")</f>
        <v/>
      </c>
      <c r="S26" s="26" t="str">
        <f ca="1">IFERROR(IF(LEN(_xlfn.SINGLE(중요_시점34[[#This Row],[요일]]))=0,"",IF(AND(S$7=$E26,$F26=1),중요_시점_표식,"")),"")</f>
        <v/>
      </c>
      <c r="T26" s="26" t="str">
        <f ca="1">IFERROR(IF(LEN(_xlfn.SINGLE(중요_시점34[[#This Row],[요일]]))=0,"",IF(AND(T$7=$E26,$F26=1),중요_시점_표식,"")),"")</f>
        <v/>
      </c>
      <c r="U26" s="26" t="str">
        <f ca="1">IFERROR(IF(LEN(_xlfn.SINGLE(중요_시점34[[#This Row],[요일]]))=0,"",IF(AND(U$7=$E26,$F26=1),중요_시점_표식,"")),"")</f>
        <v/>
      </c>
      <c r="V26" s="26" t="str">
        <f ca="1">IFERROR(IF(LEN(_xlfn.SINGLE(중요_시점34[[#This Row],[요일]]))=0,"",IF(AND(V$7=$E26,$F26=1),중요_시점_표식,"")),"")</f>
        <v/>
      </c>
      <c r="W26" s="26" t="str">
        <f ca="1">IFERROR(IF(LEN(_xlfn.SINGLE(중요_시점34[[#This Row],[요일]]))=0,"",IF(AND(W$7=$E26,$F26=1),중요_시점_표식,"")),"")</f>
        <v/>
      </c>
      <c r="X26" s="26" t="str">
        <f ca="1">IFERROR(IF(LEN(_xlfn.SINGLE(중요_시점34[[#This Row],[요일]]))=0,"",IF(AND(X$7=$E26,$F26=1),중요_시점_표식,"")),"")</f>
        <v/>
      </c>
      <c r="Y26" s="26" t="str">
        <f ca="1">IFERROR(IF(LEN(_xlfn.SINGLE(중요_시점34[[#This Row],[요일]]))=0,"",IF(AND(Y$7=$E26,$F26=1),중요_시점_표식,"")),"")</f>
        <v/>
      </c>
      <c r="Z26" s="26" t="str">
        <f ca="1">IFERROR(IF(LEN(_xlfn.SINGLE(중요_시점34[[#This Row],[요일]]))=0,"",IF(AND(Z$7=$E26,$F26=1),중요_시점_표식,"")),"")</f>
        <v/>
      </c>
      <c r="AA26" s="26" t="str">
        <f ca="1">IFERROR(IF(LEN(_xlfn.SINGLE(중요_시점34[[#This Row],[요일]]))=0,"",IF(AND(AA$7=$E26,$F26=1),중요_시점_표식,"")),"")</f>
        <v/>
      </c>
      <c r="AB26" s="26" t="str">
        <f ca="1">IFERROR(IF(LEN(_xlfn.SINGLE(중요_시점34[[#This Row],[요일]]))=0,"",IF(AND(AB$7=$E26,$F26=1),중요_시점_표식,"")),"")</f>
        <v/>
      </c>
      <c r="AC26" s="26" t="str">
        <f ca="1">IFERROR(IF(LEN(_xlfn.SINGLE(중요_시점34[[#This Row],[요일]]))=0,"",IF(AND(AC$7=$E26,$F26=1),중요_시점_표식,"")),"")</f>
        <v/>
      </c>
      <c r="AD26" s="26" t="str">
        <f ca="1">IFERROR(IF(LEN(_xlfn.SINGLE(중요_시점34[[#This Row],[요일]]))=0,"",IF(AND(AD$7=$E26,$F26=1),중요_시점_표식,"")),"")</f>
        <v/>
      </c>
      <c r="AE26" s="26" t="str">
        <f ca="1">IFERROR(IF(LEN(_xlfn.SINGLE(중요_시점34[[#This Row],[요일]]))=0,"",IF(AND(AE$7=$E26,$F26=1),중요_시점_표식,"")),"")</f>
        <v/>
      </c>
      <c r="AF26" s="26" t="str">
        <f ca="1">IFERROR(IF(LEN(_xlfn.SINGLE(중요_시점34[[#This Row],[요일]]))=0,"",IF(AND(AF$7=$E26,$F26=1),중요_시점_표식,"")),"")</f>
        <v/>
      </c>
      <c r="AG26" s="26" t="str">
        <f ca="1">IFERROR(IF(LEN(_xlfn.SINGLE(중요_시점34[[#This Row],[요일]]))=0,"",IF(AND(AG$7=$E26,$F26=1),중요_시점_표식,"")),"")</f>
        <v/>
      </c>
      <c r="AH26" s="26" t="str">
        <f ca="1">IFERROR(IF(LEN(_xlfn.SINGLE(중요_시점34[[#This Row],[요일]]))=0,"",IF(AND(AH$7=$E26,$F26=1),중요_시점_표식,"")),"")</f>
        <v/>
      </c>
      <c r="AI26" s="26" t="str">
        <f ca="1">IFERROR(IF(LEN(_xlfn.SINGLE(중요_시점34[[#This Row],[요일]]))=0,"",IF(AND(AI$7=$E26,$F26=1),중요_시점_표식,"")),"")</f>
        <v/>
      </c>
      <c r="AJ26" s="26" t="str">
        <f ca="1">IFERROR(IF(LEN(_xlfn.SINGLE(중요_시점34[[#This Row],[요일]]))=0,"",IF(AND(AJ$7=$E26,$F26=1),중요_시점_표식,"")),"")</f>
        <v/>
      </c>
      <c r="AK26" s="26" t="str">
        <f ca="1">IFERROR(IF(LEN(_xlfn.SINGLE(중요_시점34[[#This Row],[요일]]))=0,"",IF(AND(AK$7=$E26,$F26=1),중요_시점_표식,"")),"")</f>
        <v/>
      </c>
      <c r="AL26" s="26" t="str">
        <f ca="1">IFERROR(IF(LEN(_xlfn.SINGLE(중요_시점34[[#This Row],[요일]]))=0,"",IF(AND(AL$7=$E26,$F26=1),중요_시점_표식,"")),"")</f>
        <v/>
      </c>
      <c r="AM26" s="26" t="str">
        <f ca="1">IFERROR(IF(LEN(_xlfn.SINGLE(중요_시점34[[#This Row],[요일]]))=0,"",IF(AND(AM$7=$E26,$F26=1),중요_시점_표식,"")),"")</f>
        <v/>
      </c>
      <c r="AN26" s="26" t="str">
        <f ca="1">IFERROR(IF(LEN(_xlfn.SINGLE(중요_시점34[[#This Row],[요일]]))=0,"",IF(AND(AN$7=$E26,$F26=1),중요_시점_표식,"")),"")</f>
        <v/>
      </c>
      <c r="AO26" s="26" t="str">
        <f ca="1">IFERROR(IF(LEN(_xlfn.SINGLE(중요_시점34[[#This Row],[요일]]))=0,"",IF(AND(AO$7=$E26,$F26=1),중요_시점_표식,"")),"")</f>
        <v/>
      </c>
      <c r="AP26" s="26" t="str">
        <f ca="1">IFERROR(IF(LEN(_xlfn.SINGLE(중요_시점34[[#This Row],[요일]]))=0,"",IF(AND(AP$7=$E26,$F26=1),중요_시점_표식,"")),"")</f>
        <v/>
      </c>
      <c r="AQ26" s="26" t="str">
        <f ca="1">IFERROR(IF(LEN(_xlfn.SINGLE(중요_시점34[[#This Row],[요일]]))=0,"",IF(AND(AQ$7=$E26,$F26=1),중요_시점_표식,"")),"")</f>
        <v/>
      </c>
      <c r="AR26" s="26" t="str">
        <f ca="1">IFERROR(IF(LEN(_xlfn.SINGLE(중요_시점34[[#This Row],[요일]]))=0,"",IF(AND(AR$7=$E26,$F26=1),중요_시점_표식,"")),"")</f>
        <v/>
      </c>
      <c r="AS26" s="26" t="str">
        <f ca="1">IFERROR(IF(LEN(_xlfn.SINGLE(중요_시점34[[#This Row],[요일]]))=0,"",IF(AND(AS$7=$E26,$F26=1),중요_시점_표식,"")),"")</f>
        <v/>
      </c>
      <c r="AT26" s="26" t="str">
        <f ca="1">IFERROR(IF(LEN(_xlfn.SINGLE(중요_시점34[[#This Row],[요일]]))=0,"",IF(AND(AT$7=$E26,$F26=1),중요_시점_표식,"")),"")</f>
        <v/>
      </c>
      <c r="AU26" s="26" t="str">
        <f ca="1">IFERROR(IF(LEN(_xlfn.SINGLE(중요_시점34[[#This Row],[요일]]))=0,"",IF(AND(AU$7=$E26,$F26=1),중요_시점_표식,"")),"")</f>
        <v/>
      </c>
      <c r="AV26" s="26" t="str">
        <f ca="1">IFERROR(IF(LEN(_xlfn.SINGLE(중요_시점34[[#This Row],[요일]]))=0,"",IF(AND(AV$7=$E26,$F26=1),중요_시점_표식,"")),"")</f>
        <v/>
      </c>
      <c r="AW26" s="26" t="str">
        <f ca="1">IFERROR(IF(LEN(_xlfn.SINGLE(중요_시점34[[#This Row],[요일]]))=0,"",IF(AND(AW$7=$E26,$F26=1),중요_시점_표식,"")),"")</f>
        <v/>
      </c>
      <c r="AX26" s="26" t="str">
        <f ca="1">IFERROR(IF(LEN(_xlfn.SINGLE(중요_시점34[[#This Row],[요일]]))=0,"",IF(AND(AX$7=$E26,$F26=1),중요_시점_표식,"")),"")</f>
        <v/>
      </c>
      <c r="AY26" s="26" t="str">
        <f ca="1">IFERROR(IF(LEN(_xlfn.SINGLE(중요_시점34[[#This Row],[요일]]))=0,"",IF(AND(AY$7=$E26,$F26=1),중요_시점_표식,"")),"")</f>
        <v/>
      </c>
      <c r="AZ26" s="26" t="str">
        <f ca="1">IFERROR(IF(LEN(_xlfn.SINGLE(중요_시점34[[#This Row],[요일]]))=0,"",IF(AND(AZ$7=$E26,$F26=1),중요_시점_표식,"")),"")</f>
        <v/>
      </c>
      <c r="BA26" s="26" t="str">
        <f ca="1">IFERROR(IF(LEN(_xlfn.SINGLE(중요_시점34[[#This Row],[요일]]))=0,"",IF(AND(BA$7=$E26,$F26=1),중요_시점_표식,"")),"")</f>
        <v/>
      </c>
      <c r="BB26" s="26" t="str">
        <f ca="1">IFERROR(IF(LEN(_xlfn.SINGLE(중요_시점34[[#This Row],[요일]]))=0,"",IF(AND(BB$7=$E26,$F26=1),중요_시점_표식,"")),"")</f>
        <v/>
      </c>
      <c r="BC26" s="26" t="str">
        <f ca="1">IFERROR(IF(LEN(_xlfn.SINGLE(중요_시점34[[#This Row],[요일]]))=0,"",IF(AND(BC$7=$E26,$F26=1),중요_시점_표식,"")),"")</f>
        <v/>
      </c>
      <c r="BD26" s="26" t="str">
        <f ca="1">IFERROR(IF(LEN(_xlfn.SINGLE(중요_시점34[[#This Row],[요일]]))=0,"",IF(AND(BD$7=$E26,$F26=1),중요_시점_표식,"")),"")</f>
        <v/>
      </c>
      <c r="BE26" s="26" t="str">
        <f ca="1">IFERROR(IF(LEN(_xlfn.SINGLE(중요_시점34[[#This Row],[요일]]))=0,"",IF(AND(BE$7=$E26,$F26=1),중요_시점_표식,"")),"")</f>
        <v/>
      </c>
      <c r="BF26" s="26" t="str">
        <f ca="1">IFERROR(IF(LEN(_xlfn.SINGLE(중요_시점34[[#This Row],[요일]]))=0,"",IF(AND(BF$7=$E26,$F26=1),중요_시점_표식,"")),"")</f>
        <v/>
      </c>
      <c r="BG26" s="26" t="str">
        <f ca="1">IFERROR(IF(LEN(_xlfn.SINGLE(중요_시점34[[#This Row],[요일]]))=0,"",IF(AND(BG$7=$E26,$F26=1),중요_시점_표식,"")),"")</f>
        <v/>
      </c>
      <c r="BH26" s="26" t="str">
        <f ca="1">IFERROR(IF(LEN(_xlfn.SINGLE(중요_시점34[[#This Row],[요일]]))=0,"",IF(AND(BH$7=$E26,$F26=1),중요_시점_표식,"")),"")</f>
        <v/>
      </c>
      <c r="BI26" s="26" t="str">
        <f ca="1">IFERROR(IF(LEN(_xlfn.SINGLE(중요_시점34[[#This Row],[요일]]))=0,"",IF(AND(BI$7=$E26,$F26=1),중요_시점_표식,"")),"")</f>
        <v/>
      </c>
      <c r="BJ26" s="26" t="str">
        <f ca="1">IFERROR(IF(LEN(_xlfn.SINGLE(중요_시점34[[#This Row],[요일]]))=0,"",IF(AND(BJ$7=$E26,$F26=1),중요_시점_표식,"")),"")</f>
        <v/>
      </c>
      <c r="BK26" s="26" t="str">
        <f ca="1">IFERROR(IF(LEN(_xlfn.SINGLE(중요_시점34[[#This Row],[요일]]))=0,"",IF(AND(BK$7=$E26,$F26=1),중요_시점_표식,"")),"")</f>
        <v/>
      </c>
    </row>
    <row r="27" spans="1:63" s="1" customFormat="1" ht="30" customHeight="1" outlineLevel="1">
      <c r="A27" s="5"/>
      <c r="B27" s="49" t="s">
        <v>14</v>
      </c>
      <c r="C27" s="13"/>
      <c r="D27" s="82"/>
      <c r="E27" s="42">
        <f ca="1">TODAY()+40</f>
        <v>44628</v>
      </c>
      <c r="F27" s="12">
        <v>19</v>
      </c>
      <c r="G27" s="27"/>
      <c r="H27" s="26" t="str">
        <f ca="1">IFERROR(IF(LEN(_xlfn.SINGLE(중요_시점34[[#This Row],[요일]]))=0,"",IF(AND(H$7=$E27,$F27=1),중요_시점_표식,"")),"")</f>
        <v/>
      </c>
      <c r="I27" s="26" t="str">
        <f ca="1">IFERROR(IF(LEN(_xlfn.SINGLE(중요_시점34[[#This Row],[요일]]))=0,"",IF(AND(I$7=$E27,$F27=1),중요_시점_표식,"")),"")</f>
        <v/>
      </c>
      <c r="J27" s="26" t="str">
        <f ca="1">IFERROR(IF(LEN(_xlfn.SINGLE(중요_시점34[[#This Row],[요일]]))=0,"",IF(AND(J$7=$E27,$F27=1),중요_시점_표식,"")),"")</f>
        <v/>
      </c>
      <c r="K27" s="26" t="str">
        <f ca="1">IFERROR(IF(LEN(_xlfn.SINGLE(중요_시점34[[#This Row],[요일]]))=0,"",IF(AND(K$7=$E27,$F27=1),중요_시점_표식,"")),"")</f>
        <v/>
      </c>
      <c r="L27" s="26" t="str">
        <f ca="1">IFERROR(IF(LEN(_xlfn.SINGLE(중요_시점34[[#This Row],[요일]]))=0,"",IF(AND(L$7=$E27,$F27=1),중요_시점_표식,"")),"")</f>
        <v/>
      </c>
      <c r="M27" s="26" t="str">
        <f ca="1">IFERROR(IF(LEN(_xlfn.SINGLE(중요_시점34[[#This Row],[요일]]))=0,"",IF(AND(M$7=$E27,$F27=1),중요_시점_표식,"")),"")</f>
        <v/>
      </c>
      <c r="N27" s="26" t="str">
        <f ca="1">IFERROR(IF(LEN(_xlfn.SINGLE(중요_시점34[[#This Row],[요일]]))=0,"",IF(AND(N$7=$E27,$F27=1),중요_시점_표식,"")),"")</f>
        <v/>
      </c>
      <c r="O27" s="26" t="str">
        <f ca="1">IFERROR(IF(LEN(_xlfn.SINGLE(중요_시점34[[#This Row],[요일]]))=0,"",IF(AND(O$7=$E27,$F27=1),중요_시점_표식,"")),"")</f>
        <v/>
      </c>
      <c r="P27" s="26" t="str">
        <f ca="1">IFERROR(IF(LEN(_xlfn.SINGLE(중요_시점34[[#This Row],[요일]]))=0,"",IF(AND(P$7=$E27,$F27=1),중요_시점_표식,"")),"")</f>
        <v/>
      </c>
      <c r="Q27" s="26" t="str">
        <f ca="1">IFERROR(IF(LEN(_xlfn.SINGLE(중요_시점34[[#This Row],[요일]]))=0,"",IF(AND(Q$7=$E27,$F27=1),중요_시점_표식,"")),"")</f>
        <v/>
      </c>
      <c r="R27" s="26" t="str">
        <f ca="1">IFERROR(IF(LEN(_xlfn.SINGLE(중요_시점34[[#This Row],[요일]]))=0,"",IF(AND(R$7=$E27,$F27=1),중요_시점_표식,"")),"")</f>
        <v/>
      </c>
      <c r="S27" s="26" t="str">
        <f ca="1">IFERROR(IF(LEN(_xlfn.SINGLE(중요_시점34[[#This Row],[요일]]))=0,"",IF(AND(S$7=$E27,$F27=1),중요_시점_표식,"")),"")</f>
        <v/>
      </c>
      <c r="T27" s="26" t="str">
        <f ca="1">IFERROR(IF(LEN(_xlfn.SINGLE(중요_시점34[[#This Row],[요일]]))=0,"",IF(AND(T$7=$E27,$F27=1),중요_시점_표식,"")),"")</f>
        <v/>
      </c>
      <c r="U27" s="26" t="str">
        <f ca="1">IFERROR(IF(LEN(_xlfn.SINGLE(중요_시점34[[#This Row],[요일]]))=0,"",IF(AND(U$7=$E27,$F27=1),중요_시점_표식,"")),"")</f>
        <v/>
      </c>
      <c r="V27" s="26" t="str">
        <f ca="1">IFERROR(IF(LEN(_xlfn.SINGLE(중요_시점34[[#This Row],[요일]]))=0,"",IF(AND(V$7=$E27,$F27=1),중요_시점_표식,"")),"")</f>
        <v/>
      </c>
      <c r="W27" s="26" t="str">
        <f ca="1">IFERROR(IF(LEN(_xlfn.SINGLE(중요_시점34[[#This Row],[요일]]))=0,"",IF(AND(W$7=$E27,$F27=1),중요_시점_표식,"")),"")</f>
        <v/>
      </c>
      <c r="X27" s="26" t="str">
        <f ca="1">IFERROR(IF(LEN(_xlfn.SINGLE(중요_시점34[[#This Row],[요일]]))=0,"",IF(AND(X$7=$E27,$F27=1),중요_시점_표식,"")),"")</f>
        <v/>
      </c>
      <c r="Y27" s="26" t="str">
        <f ca="1">IFERROR(IF(LEN(_xlfn.SINGLE(중요_시점34[[#This Row],[요일]]))=0,"",IF(AND(Y$7=$E27,$F27=1),중요_시점_표식,"")),"")</f>
        <v/>
      </c>
      <c r="Z27" s="26" t="str">
        <f ca="1">IFERROR(IF(LEN(_xlfn.SINGLE(중요_시점34[[#This Row],[요일]]))=0,"",IF(AND(Z$7=$E27,$F27=1),중요_시점_표식,"")),"")</f>
        <v/>
      </c>
      <c r="AA27" s="26" t="str">
        <f ca="1">IFERROR(IF(LEN(_xlfn.SINGLE(중요_시점34[[#This Row],[요일]]))=0,"",IF(AND(AA$7=$E27,$F27=1),중요_시점_표식,"")),"")</f>
        <v/>
      </c>
      <c r="AB27" s="26" t="str">
        <f ca="1">IFERROR(IF(LEN(_xlfn.SINGLE(중요_시점34[[#This Row],[요일]]))=0,"",IF(AND(AB$7=$E27,$F27=1),중요_시점_표식,"")),"")</f>
        <v/>
      </c>
      <c r="AC27" s="26" t="str">
        <f ca="1">IFERROR(IF(LEN(_xlfn.SINGLE(중요_시점34[[#This Row],[요일]]))=0,"",IF(AND(AC$7=$E27,$F27=1),중요_시점_표식,"")),"")</f>
        <v/>
      </c>
      <c r="AD27" s="26" t="str">
        <f ca="1">IFERROR(IF(LEN(_xlfn.SINGLE(중요_시점34[[#This Row],[요일]]))=0,"",IF(AND(AD$7=$E27,$F27=1),중요_시점_표식,"")),"")</f>
        <v/>
      </c>
      <c r="AE27" s="26" t="str">
        <f ca="1">IFERROR(IF(LEN(_xlfn.SINGLE(중요_시점34[[#This Row],[요일]]))=0,"",IF(AND(AE$7=$E27,$F27=1),중요_시점_표식,"")),"")</f>
        <v/>
      </c>
      <c r="AF27" s="26" t="str">
        <f ca="1">IFERROR(IF(LEN(_xlfn.SINGLE(중요_시점34[[#This Row],[요일]]))=0,"",IF(AND(AF$7=$E27,$F27=1),중요_시점_표식,"")),"")</f>
        <v/>
      </c>
      <c r="AG27" s="26" t="str">
        <f ca="1">IFERROR(IF(LEN(_xlfn.SINGLE(중요_시점34[[#This Row],[요일]]))=0,"",IF(AND(AG$7=$E27,$F27=1),중요_시점_표식,"")),"")</f>
        <v/>
      </c>
      <c r="AH27" s="26" t="str">
        <f ca="1">IFERROR(IF(LEN(_xlfn.SINGLE(중요_시점34[[#This Row],[요일]]))=0,"",IF(AND(AH$7=$E27,$F27=1),중요_시점_표식,"")),"")</f>
        <v/>
      </c>
      <c r="AI27" s="26" t="str">
        <f ca="1">IFERROR(IF(LEN(_xlfn.SINGLE(중요_시점34[[#This Row],[요일]]))=0,"",IF(AND(AI$7=$E27,$F27=1),중요_시점_표식,"")),"")</f>
        <v/>
      </c>
      <c r="AJ27" s="26" t="str">
        <f ca="1">IFERROR(IF(LEN(_xlfn.SINGLE(중요_시점34[[#This Row],[요일]]))=0,"",IF(AND(AJ$7=$E27,$F27=1),중요_시점_표식,"")),"")</f>
        <v/>
      </c>
      <c r="AK27" s="26" t="str">
        <f ca="1">IFERROR(IF(LEN(_xlfn.SINGLE(중요_시점34[[#This Row],[요일]]))=0,"",IF(AND(AK$7=$E27,$F27=1),중요_시점_표식,"")),"")</f>
        <v/>
      </c>
      <c r="AL27" s="26" t="str">
        <f ca="1">IFERROR(IF(LEN(_xlfn.SINGLE(중요_시점34[[#This Row],[요일]]))=0,"",IF(AND(AL$7=$E27,$F27=1),중요_시점_표식,"")),"")</f>
        <v/>
      </c>
      <c r="AM27" s="26" t="str">
        <f ca="1">IFERROR(IF(LEN(_xlfn.SINGLE(중요_시점34[[#This Row],[요일]]))=0,"",IF(AND(AM$7=$E27,$F27=1),중요_시점_표식,"")),"")</f>
        <v/>
      </c>
      <c r="AN27" s="26" t="str">
        <f ca="1">IFERROR(IF(LEN(_xlfn.SINGLE(중요_시점34[[#This Row],[요일]]))=0,"",IF(AND(AN$7=$E27,$F27=1),중요_시점_표식,"")),"")</f>
        <v/>
      </c>
      <c r="AO27" s="26" t="str">
        <f ca="1">IFERROR(IF(LEN(_xlfn.SINGLE(중요_시점34[[#This Row],[요일]]))=0,"",IF(AND(AO$7=$E27,$F27=1),중요_시점_표식,"")),"")</f>
        <v/>
      </c>
      <c r="AP27" s="26" t="str">
        <f ca="1">IFERROR(IF(LEN(_xlfn.SINGLE(중요_시점34[[#This Row],[요일]]))=0,"",IF(AND(AP$7=$E27,$F27=1),중요_시점_표식,"")),"")</f>
        <v/>
      </c>
      <c r="AQ27" s="26" t="str">
        <f ca="1">IFERROR(IF(LEN(_xlfn.SINGLE(중요_시점34[[#This Row],[요일]]))=0,"",IF(AND(AQ$7=$E27,$F27=1),중요_시점_표식,"")),"")</f>
        <v/>
      </c>
      <c r="AR27" s="26" t="str">
        <f ca="1">IFERROR(IF(LEN(_xlfn.SINGLE(중요_시점34[[#This Row],[요일]]))=0,"",IF(AND(AR$7=$E27,$F27=1),중요_시점_표식,"")),"")</f>
        <v/>
      </c>
      <c r="AS27" s="26" t="str">
        <f ca="1">IFERROR(IF(LEN(_xlfn.SINGLE(중요_시점34[[#This Row],[요일]]))=0,"",IF(AND(AS$7=$E27,$F27=1),중요_시점_표식,"")),"")</f>
        <v/>
      </c>
      <c r="AT27" s="26" t="str">
        <f ca="1">IFERROR(IF(LEN(_xlfn.SINGLE(중요_시점34[[#This Row],[요일]]))=0,"",IF(AND(AT$7=$E27,$F27=1),중요_시점_표식,"")),"")</f>
        <v/>
      </c>
      <c r="AU27" s="26" t="str">
        <f ca="1">IFERROR(IF(LEN(_xlfn.SINGLE(중요_시점34[[#This Row],[요일]]))=0,"",IF(AND(AU$7=$E27,$F27=1),중요_시점_표식,"")),"")</f>
        <v/>
      </c>
      <c r="AV27" s="26" t="str">
        <f ca="1">IFERROR(IF(LEN(_xlfn.SINGLE(중요_시점34[[#This Row],[요일]]))=0,"",IF(AND(AV$7=$E27,$F27=1),중요_시점_표식,"")),"")</f>
        <v/>
      </c>
      <c r="AW27" s="26" t="str">
        <f ca="1">IFERROR(IF(LEN(_xlfn.SINGLE(중요_시점34[[#This Row],[요일]]))=0,"",IF(AND(AW$7=$E27,$F27=1),중요_시점_표식,"")),"")</f>
        <v/>
      </c>
      <c r="AX27" s="26" t="str">
        <f ca="1">IFERROR(IF(LEN(_xlfn.SINGLE(중요_시점34[[#This Row],[요일]]))=0,"",IF(AND(AX$7=$E27,$F27=1),중요_시점_표식,"")),"")</f>
        <v/>
      </c>
      <c r="AY27" s="26" t="str">
        <f ca="1">IFERROR(IF(LEN(_xlfn.SINGLE(중요_시점34[[#This Row],[요일]]))=0,"",IF(AND(AY$7=$E27,$F27=1),중요_시점_표식,"")),"")</f>
        <v/>
      </c>
      <c r="AZ27" s="26" t="str">
        <f ca="1">IFERROR(IF(LEN(_xlfn.SINGLE(중요_시점34[[#This Row],[요일]]))=0,"",IF(AND(AZ$7=$E27,$F27=1),중요_시점_표식,"")),"")</f>
        <v/>
      </c>
      <c r="BA27" s="26" t="str">
        <f ca="1">IFERROR(IF(LEN(_xlfn.SINGLE(중요_시점34[[#This Row],[요일]]))=0,"",IF(AND(BA$7=$E27,$F27=1),중요_시점_표식,"")),"")</f>
        <v/>
      </c>
      <c r="BB27" s="26" t="str">
        <f ca="1">IFERROR(IF(LEN(_xlfn.SINGLE(중요_시점34[[#This Row],[요일]]))=0,"",IF(AND(BB$7=$E27,$F27=1),중요_시점_표식,"")),"")</f>
        <v/>
      </c>
      <c r="BC27" s="26" t="str">
        <f ca="1">IFERROR(IF(LEN(_xlfn.SINGLE(중요_시점34[[#This Row],[요일]]))=0,"",IF(AND(BC$7=$E27,$F27=1),중요_시점_표식,"")),"")</f>
        <v/>
      </c>
      <c r="BD27" s="26" t="str">
        <f ca="1">IFERROR(IF(LEN(_xlfn.SINGLE(중요_시점34[[#This Row],[요일]]))=0,"",IF(AND(BD$7=$E27,$F27=1),중요_시점_표식,"")),"")</f>
        <v/>
      </c>
      <c r="BE27" s="26" t="str">
        <f ca="1">IFERROR(IF(LEN(_xlfn.SINGLE(중요_시점34[[#This Row],[요일]]))=0,"",IF(AND(BE$7=$E27,$F27=1),중요_시점_표식,"")),"")</f>
        <v/>
      </c>
      <c r="BF27" s="26" t="str">
        <f ca="1">IFERROR(IF(LEN(_xlfn.SINGLE(중요_시점34[[#This Row],[요일]]))=0,"",IF(AND(BF$7=$E27,$F27=1),중요_시점_표식,"")),"")</f>
        <v/>
      </c>
      <c r="BG27" s="26" t="str">
        <f ca="1">IFERROR(IF(LEN(_xlfn.SINGLE(중요_시점34[[#This Row],[요일]]))=0,"",IF(AND(BG$7=$E27,$F27=1),중요_시점_표식,"")),"")</f>
        <v/>
      </c>
      <c r="BH27" s="26" t="str">
        <f ca="1">IFERROR(IF(LEN(_xlfn.SINGLE(중요_시점34[[#This Row],[요일]]))=0,"",IF(AND(BH$7=$E27,$F27=1),중요_시점_표식,"")),"")</f>
        <v/>
      </c>
      <c r="BI27" s="26" t="str">
        <f ca="1">IFERROR(IF(LEN(_xlfn.SINGLE(중요_시점34[[#This Row],[요일]]))=0,"",IF(AND(BI$7=$E27,$F27=1),중요_시점_표식,"")),"")</f>
        <v/>
      </c>
      <c r="BJ27" s="26" t="str">
        <f ca="1">IFERROR(IF(LEN(_xlfn.SINGLE(중요_시점34[[#This Row],[요일]]))=0,"",IF(AND(BJ$7=$E27,$F27=1),중요_시점_표식,"")),"")</f>
        <v/>
      </c>
      <c r="BK27" s="26" t="str">
        <f ca="1">IFERROR(IF(LEN(_xlfn.SINGLE(중요_시점34[[#This Row],[요일]]))=0,"",IF(AND(BK$7=$E27,$F27=1),중요_시점_표식,"")),"")</f>
        <v/>
      </c>
    </row>
    <row r="28" spans="1:63" s="1" customFormat="1" ht="30" customHeight="1">
      <c r="A28" s="5"/>
      <c r="B28" s="40" t="s">
        <v>17</v>
      </c>
      <c r="C28" s="13"/>
      <c r="D28" s="82"/>
      <c r="E28" s="42"/>
      <c r="F28" s="12"/>
      <c r="G28" s="27"/>
      <c r="H28" s="26" t="str">
        <f>IFERROR(IF(LEN(_xlfn.SINGLE(중요_시점34[[#This Row],[요일]]))=0,"",IF(AND(H$7=$E28,$F28=1),중요_시점_표식,"")),"")</f>
        <v/>
      </c>
      <c r="I28" s="26" t="str">
        <f>IFERROR(IF(LEN(_xlfn.SINGLE(중요_시점34[[#This Row],[요일]]))=0,"",IF(AND(I$7=$E28,$F28=1),중요_시점_표식,"")),"")</f>
        <v/>
      </c>
      <c r="J28" s="26" t="str">
        <f>IFERROR(IF(LEN(_xlfn.SINGLE(중요_시점34[[#This Row],[요일]]))=0,"",IF(AND(J$7=$E28,$F28=1),중요_시점_표식,"")),"")</f>
        <v/>
      </c>
      <c r="K28" s="26" t="str">
        <f>IFERROR(IF(LEN(_xlfn.SINGLE(중요_시점34[[#This Row],[요일]]))=0,"",IF(AND(K$7=$E28,$F28=1),중요_시점_표식,"")),"")</f>
        <v/>
      </c>
      <c r="L28" s="26" t="str">
        <f>IFERROR(IF(LEN(_xlfn.SINGLE(중요_시점34[[#This Row],[요일]]))=0,"",IF(AND(L$7=$E28,$F28=1),중요_시점_표식,"")),"")</f>
        <v/>
      </c>
      <c r="M28" s="26" t="str">
        <f>IFERROR(IF(LEN(_xlfn.SINGLE(중요_시점34[[#This Row],[요일]]))=0,"",IF(AND(M$7=$E28,$F28=1),중요_시점_표식,"")),"")</f>
        <v/>
      </c>
      <c r="N28" s="26" t="str">
        <f>IFERROR(IF(LEN(_xlfn.SINGLE(중요_시점34[[#This Row],[요일]]))=0,"",IF(AND(N$7=$E28,$F28=1),중요_시점_표식,"")),"")</f>
        <v/>
      </c>
      <c r="O28" s="26" t="str">
        <f>IFERROR(IF(LEN(_xlfn.SINGLE(중요_시점34[[#This Row],[요일]]))=0,"",IF(AND(O$7=$E28,$F28=1),중요_시점_표식,"")),"")</f>
        <v/>
      </c>
      <c r="P28" s="26" t="str">
        <f>IFERROR(IF(LEN(_xlfn.SINGLE(중요_시점34[[#This Row],[요일]]))=0,"",IF(AND(P$7=$E28,$F28=1),중요_시점_표식,"")),"")</f>
        <v/>
      </c>
      <c r="Q28" s="26" t="str">
        <f>IFERROR(IF(LEN(_xlfn.SINGLE(중요_시점34[[#This Row],[요일]]))=0,"",IF(AND(Q$7=$E28,$F28=1),중요_시점_표식,"")),"")</f>
        <v/>
      </c>
      <c r="R28" s="26" t="str">
        <f>IFERROR(IF(LEN(_xlfn.SINGLE(중요_시점34[[#This Row],[요일]]))=0,"",IF(AND(R$7=$E28,$F28=1),중요_시점_표식,"")),"")</f>
        <v/>
      </c>
      <c r="S28" s="26" t="str">
        <f>IFERROR(IF(LEN(_xlfn.SINGLE(중요_시점34[[#This Row],[요일]]))=0,"",IF(AND(S$7=$E28,$F28=1),중요_시점_표식,"")),"")</f>
        <v/>
      </c>
      <c r="T28" s="26" t="str">
        <f>IFERROR(IF(LEN(_xlfn.SINGLE(중요_시점34[[#This Row],[요일]]))=0,"",IF(AND(T$7=$E28,$F28=1),중요_시점_표식,"")),"")</f>
        <v/>
      </c>
      <c r="U28" s="26" t="str">
        <f>IFERROR(IF(LEN(_xlfn.SINGLE(중요_시점34[[#This Row],[요일]]))=0,"",IF(AND(U$7=$E28,$F28=1),중요_시점_표식,"")),"")</f>
        <v/>
      </c>
      <c r="V28" s="26" t="str">
        <f>IFERROR(IF(LEN(_xlfn.SINGLE(중요_시점34[[#This Row],[요일]]))=0,"",IF(AND(V$7=$E28,$F28=1),중요_시점_표식,"")),"")</f>
        <v/>
      </c>
      <c r="W28" s="26" t="str">
        <f>IFERROR(IF(LEN(_xlfn.SINGLE(중요_시점34[[#This Row],[요일]]))=0,"",IF(AND(W$7=$E28,$F28=1),중요_시점_표식,"")),"")</f>
        <v/>
      </c>
      <c r="X28" s="26" t="str">
        <f>IFERROR(IF(LEN(_xlfn.SINGLE(중요_시점34[[#This Row],[요일]]))=0,"",IF(AND(X$7=$E28,$F28=1),중요_시점_표식,"")),"")</f>
        <v/>
      </c>
      <c r="Y28" s="26" t="str">
        <f>IFERROR(IF(LEN(_xlfn.SINGLE(중요_시점34[[#This Row],[요일]]))=0,"",IF(AND(Y$7=$E28,$F28=1),중요_시점_표식,"")),"")</f>
        <v/>
      </c>
      <c r="Z28" s="26" t="str">
        <f>IFERROR(IF(LEN(_xlfn.SINGLE(중요_시점34[[#This Row],[요일]]))=0,"",IF(AND(Z$7=$E28,$F28=1),중요_시점_표식,"")),"")</f>
        <v/>
      </c>
      <c r="AA28" s="26" t="str">
        <f>IFERROR(IF(LEN(_xlfn.SINGLE(중요_시점34[[#This Row],[요일]]))=0,"",IF(AND(AA$7=$E28,$F28=1),중요_시점_표식,"")),"")</f>
        <v/>
      </c>
      <c r="AB28" s="26" t="str">
        <f>IFERROR(IF(LEN(_xlfn.SINGLE(중요_시점34[[#This Row],[요일]]))=0,"",IF(AND(AB$7=$E28,$F28=1),중요_시점_표식,"")),"")</f>
        <v/>
      </c>
      <c r="AC28" s="26" t="str">
        <f>IFERROR(IF(LEN(_xlfn.SINGLE(중요_시점34[[#This Row],[요일]]))=0,"",IF(AND(AC$7=$E28,$F28=1),중요_시점_표식,"")),"")</f>
        <v/>
      </c>
      <c r="AD28" s="26" t="str">
        <f>IFERROR(IF(LEN(_xlfn.SINGLE(중요_시점34[[#This Row],[요일]]))=0,"",IF(AND(AD$7=$E28,$F28=1),중요_시점_표식,"")),"")</f>
        <v/>
      </c>
      <c r="AE28" s="26" t="str">
        <f>IFERROR(IF(LEN(_xlfn.SINGLE(중요_시점34[[#This Row],[요일]]))=0,"",IF(AND(AE$7=$E28,$F28=1),중요_시점_표식,"")),"")</f>
        <v/>
      </c>
      <c r="AF28" s="26" t="str">
        <f>IFERROR(IF(LEN(_xlfn.SINGLE(중요_시점34[[#This Row],[요일]]))=0,"",IF(AND(AF$7=$E28,$F28=1),중요_시점_표식,"")),"")</f>
        <v/>
      </c>
      <c r="AG28" s="26" t="str">
        <f>IFERROR(IF(LEN(_xlfn.SINGLE(중요_시점34[[#This Row],[요일]]))=0,"",IF(AND(AG$7=$E28,$F28=1),중요_시점_표식,"")),"")</f>
        <v/>
      </c>
      <c r="AH28" s="26" t="str">
        <f>IFERROR(IF(LEN(_xlfn.SINGLE(중요_시점34[[#This Row],[요일]]))=0,"",IF(AND(AH$7=$E28,$F28=1),중요_시점_표식,"")),"")</f>
        <v/>
      </c>
      <c r="AI28" s="26" t="str">
        <f>IFERROR(IF(LEN(_xlfn.SINGLE(중요_시점34[[#This Row],[요일]]))=0,"",IF(AND(AI$7=$E28,$F28=1),중요_시점_표식,"")),"")</f>
        <v/>
      </c>
      <c r="AJ28" s="26" t="str">
        <f>IFERROR(IF(LEN(_xlfn.SINGLE(중요_시점34[[#This Row],[요일]]))=0,"",IF(AND(AJ$7=$E28,$F28=1),중요_시점_표식,"")),"")</f>
        <v/>
      </c>
      <c r="AK28" s="26" t="str">
        <f>IFERROR(IF(LEN(_xlfn.SINGLE(중요_시점34[[#This Row],[요일]]))=0,"",IF(AND(AK$7=$E28,$F28=1),중요_시점_표식,"")),"")</f>
        <v/>
      </c>
      <c r="AL28" s="26" t="str">
        <f>IFERROR(IF(LEN(_xlfn.SINGLE(중요_시점34[[#This Row],[요일]]))=0,"",IF(AND(AL$7=$E28,$F28=1),중요_시점_표식,"")),"")</f>
        <v/>
      </c>
      <c r="AM28" s="26" t="str">
        <f>IFERROR(IF(LEN(_xlfn.SINGLE(중요_시점34[[#This Row],[요일]]))=0,"",IF(AND(AM$7=$E28,$F28=1),중요_시점_표식,"")),"")</f>
        <v/>
      </c>
      <c r="AN28" s="26" t="str">
        <f>IFERROR(IF(LEN(_xlfn.SINGLE(중요_시점34[[#This Row],[요일]]))=0,"",IF(AND(AN$7=$E28,$F28=1),중요_시점_표식,"")),"")</f>
        <v/>
      </c>
      <c r="AO28" s="26" t="str">
        <f>IFERROR(IF(LEN(_xlfn.SINGLE(중요_시점34[[#This Row],[요일]]))=0,"",IF(AND(AO$7=$E28,$F28=1),중요_시점_표식,"")),"")</f>
        <v/>
      </c>
      <c r="AP28" s="26" t="str">
        <f>IFERROR(IF(LEN(_xlfn.SINGLE(중요_시점34[[#This Row],[요일]]))=0,"",IF(AND(AP$7=$E28,$F28=1),중요_시점_표식,"")),"")</f>
        <v/>
      </c>
      <c r="AQ28" s="26" t="str">
        <f>IFERROR(IF(LEN(_xlfn.SINGLE(중요_시점34[[#This Row],[요일]]))=0,"",IF(AND(AQ$7=$E28,$F28=1),중요_시점_표식,"")),"")</f>
        <v/>
      </c>
      <c r="AR28" s="26" t="str">
        <f>IFERROR(IF(LEN(_xlfn.SINGLE(중요_시점34[[#This Row],[요일]]))=0,"",IF(AND(AR$7=$E28,$F28=1),중요_시점_표식,"")),"")</f>
        <v/>
      </c>
      <c r="AS28" s="26" t="str">
        <f>IFERROR(IF(LEN(_xlfn.SINGLE(중요_시점34[[#This Row],[요일]]))=0,"",IF(AND(AS$7=$E28,$F28=1),중요_시점_표식,"")),"")</f>
        <v/>
      </c>
      <c r="AT28" s="26" t="str">
        <f>IFERROR(IF(LEN(_xlfn.SINGLE(중요_시점34[[#This Row],[요일]]))=0,"",IF(AND(AT$7=$E28,$F28=1),중요_시점_표식,"")),"")</f>
        <v/>
      </c>
      <c r="AU28" s="26" t="str">
        <f>IFERROR(IF(LEN(_xlfn.SINGLE(중요_시점34[[#This Row],[요일]]))=0,"",IF(AND(AU$7=$E28,$F28=1),중요_시점_표식,"")),"")</f>
        <v/>
      </c>
      <c r="AV28" s="26" t="str">
        <f>IFERROR(IF(LEN(_xlfn.SINGLE(중요_시점34[[#This Row],[요일]]))=0,"",IF(AND(AV$7=$E28,$F28=1),중요_시점_표식,"")),"")</f>
        <v/>
      </c>
      <c r="AW28" s="26" t="str">
        <f>IFERROR(IF(LEN(_xlfn.SINGLE(중요_시점34[[#This Row],[요일]]))=0,"",IF(AND(AW$7=$E28,$F28=1),중요_시점_표식,"")),"")</f>
        <v/>
      </c>
      <c r="AX28" s="26" t="str">
        <f>IFERROR(IF(LEN(_xlfn.SINGLE(중요_시점34[[#This Row],[요일]]))=0,"",IF(AND(AX$7=$E28,$F28=1),중요_시점_표식,"")),"")</f>
        <v/>
      </c>
      <c r="AY28" s="26" t="str">
        <f>IFERROR(IF(LEN(_xlfn.SINGLE(중요_시점34[[#This Row],[요일]]))=0,"",IF(AND(AY$7=$E28,$F28=1),중요_시점_표식,"")),"")</f>
        <v/>
      </c>
      <c r="AZ28" s="26" t="str">
        <f>IFERROR(IF(LEN(_xlfn.SINGLE(중요_시점34[[#This Row],[요일]]))=0,"",IF(AND(AZ$7=$E28,$F28=1),중요_시점_표식,"")),"")</f>
        <v/>
      </c>
      <c r="BA28" s="26" t="str">
        <f>IFERROR(IF(LEN(_xlfn.SINGLE(중요_시점34[[#This Row],[요일]]))=0,"",IF(AND(BA$7=$E28,$F28=1),중요_시점_표식,"")),"")</f>
        <v/>
      </c>
      <c r="BB28" s="26" t="str">
        <f>IFERROR(IF(LEN(_xlfn.SINGLE(중요_시점34[[#This Row],[요일]]))=0,"",IF(AND(BB$7=$E28,$F28=1),중요_시점_표식,"")),"")</f>
        <v/>
      </c>
      <c r="BC28" s="26" t="str">
        <f>IFERROR(IF(LEN(_xlfn.SINGLE(중요_시점34[[#This Row],[요일]]))=0,"",IF(AND(BC$7=$E28,$F28=1),중요_시점_표식,"")),"")</f>
        <v/>
      </c>
      <c r="BD28" s="26" t="str">
        <f>IFERROR(IF(LEN(_xlfn.SINGLE(중요_시점34[[#This Row],[요일]]))=0,"",IF(AND(BD$7=$E28,$F28=1),중요_시점_표식,"")),"")</f>
        <v/>
      </c>
      <c r="BE28" s="26" t="str">
        <f>IFERROR(IF(LEN(_xlfn.SINGLE(중요_시점34[[#This Row],[요일]]))=0,"",IF(AND(BE$7=$E28,$F28=1),중요_시점_표식,"")),"")</f>
        <v/>
      </c>
      <c r="BF28" s="26" t="str">
        <f>IFERROR(IF(LEN(_xlfn.SINGLE(중요_시점34[[#This Row],[요일]]))=0,"",IF(AND(BF$7=$E28,$F28=1),중요_시점_표식,"")),"")</f>
        <v/>
      </c>
      <c r="BG28" s="26" t="str">
        <f>IFERROR(IF(LEN(_xlfn.SINGLE(중요_시점34[[#This Row],[요일]]))=0,"",IF(AND(BG$7=$E28,$F28=1),중요_시점_표식,"")),"")</f>
        <v/>
      </c>
      <c r="BH28" s="26" t="str">
        <f>IFERROR(IF(LEN(_xlfn.SINGLE(중요_시점34[[#This Row],[요일]]))=0,"",IF(AND(BH$7=$E28,$F28=1),중요_시점_표식,"")),"")</f>
        <v/>
      </c>
      <c r="BI28" s="26" t="str">
        <f>IFERROR(IF(LEN(_xlfn.SINGLE(중요_시점34[[#This Row],[요일]]))=0,"",IF(AND(BI$7=$E28,$F28=1),중요_시점_표식,"")),"")</f>
        <v/>
      </c>
      <c r="BJ28" s="26" t="str">
        <f>IFERROR(IF(LEN(_xlfn.SINGLE(중요_시점34[[#This Row],[요일]]))=0,"",IF(AND(BJ$7=$E28,$F28=1),중요_시점_표식,"")),"")</f>
        <v/>
      </c>
      <c r="BK28" s="26" t="str">
        <f>IFERROR(IF(LEN(_xlfn.SINGLE(중요_시점34[[#This Row],[요일]]))=0,"",IF(AND(BK$7=$E28,$F28=1),중요_시점_표식,"")),"")</f>
        <v/>
      </c>
    </row>
    <row r="29" spans="1:63" s="1" customFormat="1" ht="30" customHeight="1" outlineLevel="1">
      <c r="A29" s="5"/>
      <c r="B29" s="49" t="s">
        <v>10</v>
      </c>
      <c r="C29" s="13"/>
      <c r="D29" s="82"/>
      <c r="E29" s="42">
        <f ca="1">TODAY()+37</f>
        <v>44625</v>
      </c>
      <c r="F29" s="12">
        <v>15</v>
      </c>
      <c r="G29" s="27"/>
      <c r="H29" s="26" t="str">
        <f ca="1">IFERROR(IF(LEN(_xlfn.SINGLE(중요_시점34[[#This Row],[요일]]))=0,"",IF(AND(H$7=$E29,$F29=1),중요_시점_표식,"")),"")</f>
        <v/>
      </c>
      <c r="I29" s="26" t="str">
        <f ca="1">IFERROR(IF(LEN(_xlfn.SINGLE(중요_시점34[[#This Row],[요일]]))=0,"",IF(AND(I$7=$E29,$F29=1),중요_시점_표식,"")),"")</f>
        <v/>
      </c>
      <c r="J29" s="26" t="str">
        <f ca="1">IFERROR(IF(LEN(_xlfn.SINGLE(중요_시점34[[#This Row],[요일]]))=0,"",IF(AND(J$7=$E29,$F29=1),중요_시점_표식,"")),"")</f>
        <v/>
      </c>
      <c r="K29" s="26" t="str">
        <f ca="1">IFERROR(IF(LEN(_xlfn.SINGLE(중요_시점34[[#This Row],[요일]]))=0,"",IF(AND(K$7=$E29,$F29=1),중요_시점_표식,"")),"")</f>
        <v/>
      </c>
      <c r="L29" s="26" t="str">
        <f ca="1">IFERROR(IF(LEN(_xlfn.SINGLE(중요_시점34[[#This Row],[요일]]))=0,"",IF(AND(L$7=$E29,$F29=1),중요_시점_표식,"")),"")</f>
        <v/>
      </c>
      <c r="M29" s="26" t="str">
        <f ca="1">IFERROR(IF(LEN(_xlfn.SINGLE(중요_시점34[[#This Row],[요일]]))=0,"",IF(AND(M$7=$E29,$F29=1),중요_시점_표식,"")),"")</f>
        <v/>
      </c>
      <c r="N29" s="26" t="str">
        <f ca="1">IFERROR(IF(LEN(_xlfn.SINGLE(중요_시점34[[#This Row],[요일]]))=0,"",IF(AND(N$7=$E29,$F29=1),중요_시점_표식,"")),"")</f>
        <v/>
      </c>
      <c r="O29" s="26" t="str">
        <f ca="1">IFERROR(IF(LEN(_xlfn.SINGLE(중요_시점34[[#This Row],[요일]]))=0,"",IF(AND(O$7=$E29,$F29=1),중요_시점_표식,"")),"")</f>
        <v/>
      </c>
      <c r="P29" s="26" t="str">
        <f ca="1">IFERROR(IF(LEN(_xlfn.SINGLE(중요_시점34[[#This Row],[요일]]))=0,"",IF(AND(P$7=$E29,$F29=1),중요_시점_표식,"")),"")</f>
        <v/>
      </c>
      <c r="Q29" s="26" t="str">
        <f ca="1">IFERROR(IF(LEN(_xlfn.SINGLE(중요_시점34[[#This Row],[요일]]))=0,"",IF(AND(Q$7=$E29,$F29=1),중요_시점_표식,"")),"")</f>
        <v/>
      </c>
      <c r="R29" s="26" t="str">
        <f ca="1">IFERROR(IF(LEN(_xlfn.SINGLE(중요_시점34[[#This Row],[요일]]))=0,"",IF(AND(R$7=$E29,$F29=1),중요_시점_표식,"")),"")</f>
        <v/>
      </c>
      <c r="S29" s="26" t="str">
        <f ca="1">IFERROR(IF(LEN(_xlfn.SINGLE(중요_시점34[[#This Row],[요일]]))=0,"",IF(AND(S$7=$E29,$F29=1),중요_시점_표식,"")),"")</f>
        <v/>
      </c>
      <c r="T29" s="26" t="str">
        <f ca="1">IFERROR(IF(LEN(_xlfn.SINGLE(중요_시점34[[#This Row],[요일]]))=0,"",IF(AND(T$7=$E29,$F29=1),중요_시점_표식,"")),"")</f>
        <v/>
      </c>
      <c r="U29" s="26" t="str">
        <f ca="1">IFERROR(IF(LEN(_xlfn.SINGLE(중요_시점34[[#This Row],[요일]]))=0,"",IF(AND(U$7=$E29,$F29=1),중요_시점_표식,"")),"")</f>
        <v/>
      </c>
      <c r="V29" s="26" t="str">
        <f ca="1">IFERROR(IF(LEN(_xlfn.SINGLE(중요_시점34[[#This Row],[요일]]))=0,"",IF(AND(V$7=$E29,$F29=1),중요_시점_표식,"")),"")</f>
        <v/>
      </c>
      <c r="W29" s="26" t="str">
        <f ca="1">IFERROR(IF(LEN(_xlfn.SINGLE(중요_시점34[[#This Row],[요일]]))=0,"",IF(AND(W$7=$E29,$F29=1),중요_시점_표식,"")),"")</f>
        <v/>
      </c>
      <c r="X29" s="26" t="str">
        <f ca="1">IFERROR(IF(LEN(_xlfn.SINGLE(중요_시점34[[#This Row],[요일]]))=0,"",IF(AND(X$7=$E29,$F29=1),중요_시점_표식,"")),"")</f>
        <v/>
      </c>
      <c r="Y29" s="26" t="str">
        <f ca="1">IFERROR(IF(LEN(_xlfn.SINGLE(중요_시점34[[#This Row],[요일]]))=0,"",IF(AND(Y$7=$E29,$F29=1),중요_시점_표식,"")),"")</f>
        <v/>
      </c>
      <c r="Z29" s="26" t="str">
        <f ca="1">IFERROR(IF(LEN(_xlfn.SINGLE(중요_시점34[[#This Row],[요일]]))=0,"",IF(AND(Z$7=$E29,$F29=1),중요_시점_표식,"")),"")</f>
        <v/>
      </c>
      <c r="AA29" s="26" t="str">
        <f ca="1">IFERROR(IF(LEN(_xlfn.SINGLE(중요_시점34[[#This Row],[요일]]))=0,"",IF(AND(AA$7=$E29,$F29=1),중요_시점_표식,"")),"")</f>
        <v/>
      </c>
      <c r="AB29" s="26" t="str">
        <f ca="1">IFERROR(IF(LEN(_xlfn.SINGLE(중요_시점34[[#This Row],[요일]]))=0,"",IF(AND(AB$7=$E29,$F29=1),중요_시점_표식,"")),"")</f>
        <v/>
      </c>
      <c r="AC29" s="26" t="str">
        <f ca="1">IFERROR(IF(LEN(_xlfn.SINGLE(중요_시점34[[#This Row],[요일]]))=0,"",IF(AND(AC$7=$E29,$F29=1),중요_시점_표식,"")),"")</f>
        <v/>
      </c>
      <c r="AD29" s="26" t="str">
        <f ca="1">IFERROR(IF(LEN(_xlfn.SINGLE(중요_시점34[[#This Row],[요일]]))=0,"",IF(AND(AD$7=$E29,$F29=1),중요_시점_표식,"")),"")</f>
        <v/>
      </c>
      <c r="AE29" s="26" t="str">
        <f ca="1">IFERROR(IF(LEN(_xlfn.SINGLE(중요_시점34[[#This Row],[요일]]))=0,"",IF(AND(AE$7=$E29,$F29=1),중요_시점_표식,"")),"")</f>
        <v/>
      </c>
      <c r="AF29" s="26" t="str">
        <f ca="1">IFERROR(IF(LEN(_xlfn.SINGLE(중요_시점34[[#This Row],[요일]]))=0,"",IF(AND(AF$7=$E29,$F29=1),중요_시점_표식,"")),"")</f>
        <v/>
      </c>
      <c r="AG29" s="26" t="str">
        <f ca="1">IFERROR(IF(LEN(_xlfn.SINGLE(중요_시점34[[#This Row],[요일]]))=0,"",IF(AND(AG$7=$E29,$F29=1),중요_시점_표식,"")),"")</f>
        <v/>
      </c>
      <c r="AH29" s="26" t="str">
        <f ca="1">IFERROR(IF(LEN(_xlfn.SINGLE(중요_시점34[[#This Row],[요일]]))=0,"",IF(AND(AH$7=$E29,$F29=1),중요_시점_표식,"")),"")</f>
        <v/>
      </c>
      <c r="AI29" s="26" t="str">
        <f ca="1">IFERROR(IF(LEN(_xlfn.SINGLE(중요_시점34[[#This Row],[요일]]))=0,"",IF(AND(AI$7=$E29,$F29=1),중요_시점_표식,"")),"")</f>
        <v/>
      </c>
      <c r="AJ29" s="26" t="str">
        <f ca="1">IFERROR(IF(LEN(_xlfn.SINGLE(중요_시점34[[#This Row],[요일]]))=0,"",IF(AND(AJ$7=$E29,$F29=1),중요_시점_표식,"")),"")</f>
        <v/>
      </c>
      <c r="AK29" s="26" t="str">
        <f ca="1">IFERROR(IF(LEN(_xlfn.SINGLE(중요_시점34[[#This Row],[요일]]))=0,"",IF(AND(AK$7=$E29,$F29=1),중요_시점_표식,"")),"")</f>
        <v/>
      </c>
      <c r="AL29" s="26" t="str">
        <f ca="1">IFERROR(IF(LEN(_xlfn.SINGLE(중요_시점34[[#This Row],[요일]]))=0,"",IF(AND(AL$7=$E29,$F29=1),중요_시점_표식,"")),"")</f>
        <v/>
      </c>
      <c r="AM29" s="26" t="str">
        <f ca="1">IFERROR(IF(LEN(_xlfn.SINGLE(중요_시점34[[#This Row],[요일]]))=0,"",IF(AND(AM$7=$E29,$F29=1),중요_시점_표식,"")),"")</f>
        <v/>
      </c>
      <c r="AN29" s="26" t="str">
        <f ca="1">IFERROR(IF(LEN(_xlfn.SINGLE(중요_시점34[[#This Row],[요일]]))=0,"",IF(AND(AN$7=$E29,$F29=1),중요_시점_표식,"")),"")</f>
        <v/>
      </c>
      <c r="AO29" s="26" t="str">
        <f ca="1">IFERROR(IF(LEN(_xlfn.SINGLE(중요_시점34[[#This Row],[요일]]))=0,"",IF(AND(AO$7=$E29,$F29=1),중요_시점_표식,"")),"")</f>
        <v/>
      </c>
      <c r="AP29" s="26" t="str">
        <f ca="1">IFERROR(IF(LEN(_xlfn.SINGLE(중요_시점34[[#This Row],[요일]]))=0,"",IF(AND(AP$7=$E29,$F29=1),중요_시점_표식,"")),"")</f>
        <v/>
      </c>
      <c r="AQ29" s="26" t="str">
        <f ca="1">IFERROR(IF(LEN(_xlfn.SINGLE(중요_시점34[[#This Row],[요일]]))=0,"",IF(AND(AQ$7=$E29,$F29=1),중요_시점_표식,"")),"")</f>
        <v/>
      </c>
      <c r="AR29" s="26" t="str">
        <f ca="1">IFERROR(IF(LEN(_xlfn.SINGLE(중요_시점34[[#This Row],[요일]]))=0,"",IF(AND(AR$7=$E29,$F29=1),중요_시점_표식,"")),"")</f>
        <v/>
      </c>
      <c r="AS29" s="26" t="str">
        <f ca="1">IFERROR(IF(LEN(_xlfn.SINGLE(중요_시점34[[#This Row],[요일]]))=0,"",IF(AND(AS$7=$E29,$F29=1),중요_시점_표식,"")),"")</f>
        <v/>
      </c>
      <c r="AT29" s="26" t="str">
        <f ca="1">IFERROR(IF(LEN(_xlfn.SINGLE(중요_시점34[[#This Row],[요일]]))=0,"",IF(AND(AT$7=$E29,$F29=1),중요_시점_표식,"")),"")</f>
        <v/>
      </c>
      <c r="AU29" s="26" t="str">
        <f ca="1">IFERROR(IF(LEN(_xlfn.SINGLE(중요_시점34[[#This Row],[요일]]))=0,"",IF(AND(AU$7=$E29,$F29=1),중요_시점_표식,"")),"")</f>
        <v/>
      </c>
      <c r="AV29" s="26" t="str">
        <f ca="1">IFERROR(IF(LEN(_xlfn.SINGLE(중요_시점34[[#This Row],[요일]]))=0,"",IF(AND(AV$7=$E29,$F29=1),중요_시점_표식,"")),"")</f>
        <v/>
      </c>
      <c r="AW29" s="26" t="str">
        <f ca="1">IFERROR(IF(LEN(_xlfn.SINGLE(중요_시점34[[#This Row],[요일]]))=0,"",IF(AND(AW$7=$E29,$F29=1),중요_시점_표식,"")),"")</f>
        <v/>
      </c>
      <c r="AX29" s="26" t="str">
        <f ca="1">IFERROR(IF(LEN(_xlfn.SINGLE(중요_시점34[[#This Row],[요일]]))=0,"",IF(AND(AX$7=$E29,$F29=1),중요_시점_표식,"")),"")</f>
        <v/>
      </c>
      <c r="AY29" s="26" t="str">
        <f ca="1">IFERROR(IF(LEN(_xlfn.SINGLE(중요_시점34[[#This Row],[요일]]))=0,"",IF(AND(AY$7=$E29,$F29=1),중요_시점_표식,"")),"")</f>
        <v/>
      </c>
      <c r="AZ29" s="26" t="str">
        <f ca="1">IFERROR(IF(LEN(_xlfn.SINGLE(중요_시점34[[#This Row],[요일]]))=0,"",IF(AND(AZ$7=$E29,$F29=1),중요_시점_표식,"")),"")</f>
        <v/>
      </c>
      <c r="BA29" s="26" t="str">
        <f ca="1">IFERROR(IF(LEN(_xlfn.SINGLE(중요_시점34[[#This Row],[요일]]))=0,"",IF(AND(BA$7=$E29,$F29=1),중요_시점_표식,"")),"")</f>
        <v/>
      </c>
      <c r="BB29" s="26" t="str">
        <f ca="1">IFERROR(IF(LEN(_xlfn.SINGLE(중요_시점34[[#This Row],[요일]]))=0,"",IF(AND(BB$7=$E29,$F29=1),중요_시점_표식,"")),"")</f>
        <v/>
      </c>
      <c r="BC29" s="26" t="str">
        <f ca="1">IFERROR(IF(LEN(_xlfn.SINGLE(중요_시점34[[#This Row],[요일]]))=0,"",IF(AND(BC$7=$E29,$F29=1),중요_시점_표식,"")),"")</f>
        <v/>
      </c>
      <c r="BD29" s="26" t="str">
        <f ca="1">IFERROR(IF(LEN(_xlfn.SINGLE(중요_시점34[[#This Row],[요일]]))=0,"",IF(AND(BD$7=$E29,$F29=1),중요_시점_표식,"")),"")</f>
        <v/>
      </c>
      <c r="BE29" s="26" t="str">
        <f ca="1">IFERROR(IF(LEN(_xlfn.SINGLE(중요_시점34[[#This Row],[요일]]))=0,"",IF(AND(BE$7=$E29,$F29=1),중요_시점_표식,"")),"")</f>
        <v/>
      </c>
      <c r="BF29" s="26" t="str">
        <f ca="1">IFERROR(IF(LEN(_xlfn.SINGLE(중요_시점34[[#This Row],[요일]]))=0,"",IF(AND(BF$7=$E29,$F29=1),중요_시점_표식,"")),"")</f>
        <v/>
      </c>
      <c r="BG29" s="26" t="str">
        <f ca="1">IFERROR(IF(LEN(_xlfn.SINGLE(중요_시점34[[#This Row],[요일]]))=0,"",IF(AND(BG$7=$E29,$F29=1),중요_시점_표식,"")),"")</f>
        <v/>
      </c>
      <c r="BH29" s="26" t="str">
        <f ca="1">IFERROR(IF(LEN(_xlfn.SINGLE(중요_시점34[[#This Row],[요일]]))=0,"",IF(AND(BH$7=$E29,$F29=1),중요_시점_표식,"")),"")</f>
        <v/>
      </c>
      <c r="BI29" s="26" t="str">
        <f ca="1">IFERROR(IF(LEN(_xlfn.SINGLE(중요_시점34[[#This Row],[요일]]))=0,"",IF(AND(BI$7=$E29,$F29=1),중요_시점_표식,"")),"")</f>
        <v/>
      </c>
      <c r="BJ29" s="26" t="str">
        <f ca="1">IFERROR(IF(LEN(_xlfn.SINGLE(중요_시점34[[#This Row],[요일]]))=0,"",IF(AND(BJ$7=$E29,$F29=1),중요_시점_표식,"")),"")</f>
        <v/>
      </c>
      <c r="BK29" s="26" t="str">
        <f ca="1">IFERROR(IF(LEN(_xlfn.SINGLE(중요_시점34[[#This Row],[요일]]))=0,"",IF(AND(BK$7=$E29,$F29=1),중요_시점_표식,"")),"")</f>
        <v/>
      </c>
    </row>
    <row r="30" spans="1:63" s="1" customFormat="1" ht="30" customHeight="1" outlineLevel="1">
      <c r="A30" s="5"/>
      <c r="B30" s="49" t="s">
        <v>11</v>
      </c>
      <c r="C30" s="13"/>
      <c r="D30" s="82"/>
      <c r="E30" s="42">
        <f ca="1">TODAY()+29</f>
        <v>44617</v>
      </c>
      <c r="F30" s="12">
        <v>5</v>
      </c>
      <c r="G30" s="27"/>
      <c r="H30" s="26" t="str">
        <f ca="1">IFERROR(IF(LEN(_xlfn.SINGLE(중요_시점34[[#This Row],[요일]]))=0,"",IF(AND(H$7=$E30,$F30=1),중요_시점_표식,"")),"")</f>
        <v/>
      </c>
      <c r="I30" s="26" t="str">
        <f ca="1">IFERROR(IF(LEN(_xlfn.SINGLE(중요_시점34[[#This Row],[요일]]))=0,"",IF(AND(I$7=$E30,$F30=1),중요_시점_표식,"")),"")</f>
        <v/>
      </c>
      <c r="J30" s="26" t="str">
        <f ca="1">IFERROR(IF(LEN(_xlfn.SINGLE(중요_시점34[[#This Row],[요일]]))=0,"",IF(AND(J$7=$E30,$F30=1),중요_시점_표식,"")),"")</f>
        <v/>
      </c>
      <c r="K30" s="26" t="str">
        <f ca="1">IFERROR(IF(LEN(_xlfn.SINGLE(중요_시점34[[#This Row],[요일]]))=0,"",IF(AND(K$7=$E30,$F30=1),중요_시점_표식,"")),"")</f>
        <v/>
      </c>
      <c r="L30" s="26" t="str">
        <f ca="1">IFERROR(IF(LEN(_xlfn.SINGLE(중요_시점34[[#This Row],[요일]]))=0,"",IF(AND(L$7=$E30,$F30=1),중요_시점_표식,"")),"")</f>
        <v/>
      </c>
      <c r="M30" s="26" t="str">
        <f ca="1">IFERROR(IF(LEN(_xlfn.SINGLE(중요_시점34[[#This Row],[요일]]))=0,"",IF(AND(M$7=$E30,$F30=1),중요_시점_표식,"")),"")</f>
        <v/>
      </c>
      <c r="N30" s="26" t="str">
        <f ca="1">IFERROR(IF(LEN(_xlfn.SINGLE(중요_시점34[[#This Row],[요일]]))=0,"",IF(AND(N$7=$E30,$F30=1),중요_시점_표식,"")),"")</f>
        <v/>
      </c>
      <c r="O30" s="26" t="str">
        <f ca="1">IFERROR(IF(LEN(_xlfn.SINGLE(중요_시점34[[#This Row],[요일]]))=0,"",IF(AND(O$7=$E30,$F30=1),중요_시점_표식,"")),"")</f>
        <v/>
      </c>
      <c r="P30" s="26" t="str">
        <f ca="1">IFERROR(IF(LEN(_xlfn.SINGLE(중요_시점34[[#This Row],[요일]]))=0,"",IF(AND(P$7=$E30,$F30=1),중요_시점_표식,"")),"")</f>
        <v/>
      </c>
      <c r="Q30" s="26" t="str">
        <f ca="1">IFERROR(IF(LEN(_xlfn.SINGLE(중요_시점34[[#This Row],[요일]]))=0,"",IF(AND(Q$7=$E30,$F30=1),중요_시점_표식,"")),"")</f>
        <v/>
      </c>
      <c r="R30" s="26" t="str">
        <f ca="1">IFERROR(IF(LEN(_xlfn.SINGLE(중요_시점34[[#This Row],[요일]]))=0,"",IF(AND(R$7=$E30,$F30=1),중요_시점_표식,"")),"")</f>
        <v/>
      </c>
      <c r="S30" s="26" t="str">
        <f ca="1">IFERROR(IF(LEN(_xlfn.SINGLE(중요_시점34[[#This Row],[요일]]))=0,"",IF(AND(S$7=$E30,$F30=1),중요_시점_표식,"")),"")</f>
        <v/>
      </c>
      <c r="T30" s="26" t="str">
        <f ca="1">IFERROR(IF(LEN(_xlfn.SINGLE(중요_시점34[[#This Row],[요일]]))=0,"",IF(AND(T$7=$E30,$F30=1),중요_시점_표식,"")),"")</f>
        <v/>
      </c>
      <c r="U30" s="26" t="str">
        <f ca="1">IFERROR(IF(LEN(_xlfn.SINGLE(중요_시점34[[#This Row],[요일]]))=0,"",IF(AND(U$7=$E30,$F30=1),중요_시점_표식,"")),"")</f>
        <v/>
      </c>
      <c r="V30" s="26" t="str">
        <f ca="1">IFERROR(IF(LEN(_xlfn.SINGLE(중요_시점34[[#This Row],[요일]]))=0,"",IF(AND(V$7=$E30,$F30=1),중요_시점_표식,"")),"")</f>
        <v/>
      </c>
      <c r="W30" s="26" t="str">
        <f ca="1">IFERROR(IF(LEN(_xlfn.SINGLE(중요_시점34[[#This Row],[요일]]))=0,"",IF(AND(W$7=$E30,$F30=1),중요_시점_표식,"")),"")</f>
        <v/>
      </c>
      <c r="X30" s="26" t="str">
        <f ca="1">IFERROR(IF(LEN(_xlfn.SINGLE(중요_시점34[[#This Row],[요일]]))=0,"",IF(AND(X$7=$E30,$F30=1),중요_시점_표식,"")),"")</f>
        <v/>
      </c>
      <c r="Y30" s="26" t="str">
        <f ca="1">IFERROR(IF(LEN(_xlfn.SINGLE(중요_시점34[[#This Row],[요일]]))=0,"",IF(AND(Y$7=$E30,$F30=1),중요_시점_표식,"")),"")</f>
        <v/>
      </c>
      <c r="Z30" s="26" t="str">
        <f ca="1">IFERROR(IF(LEN(_xlfn.SINGLE(중요_시점34[[#This Row],[요일]]))=0,"",IF(AND(Z$7=$E30,$F30=1),중요_시점_표식,"")),"")</f>
        <v/>
      </c>
      <c r="AA30" s="26" t="str">
        <f ca="1">IFERROR(IF(LEN(_xlfn.SINGLE(중요_시점34[[#This Row],[요일]]))=0,"",IF(AND(AA$7=$E30,$F30=1),중요_시점_표식,"")),"")</f>
        <v/>
      </c>
      <c r="AB30" s="26" t="str">
        <f ca="1">IFERROR(IF(LEN(_xlfn.SINGLE(중요_시점34[[#This Row],[요일]]))=0,"",IF(AND(AB$7=$E30,$F30=1),중요_시점_표식,"")),"")</f>
        <v/>
      </c>
      <c r="AC30" s="26" t="str">
        <f ca="1">IFERROR(IF(LEN(_xlfn.SINGLE(중요_시점34[[#This Row],[요일]]))=0,"",IF(AND(AC$7=$E30,$F30=1),중요_시점_표식,"")),"")</f>
        <v/>
      </c>
      <c r="AD30" s="26" t="str">
        <f ca="1">IFERROR(IF(LEN(_xlfn.SINGLE(중요_시점34[[#This Row],[요일]]))=0,"",IF(AND(AD$7=$E30,$F30=1),중요_시점_표식,"")),"")</f>
        <v/>
      </c>
      <c r="AE30" s="26" t="str">
        <f ca="1">IFERROR(IF(LEN(_xlfn.SINGLE(중요_시점34[[#This Row],[요일]]))=0,"",IF(AND(AE$7=$E30,$F30=1),중요_시점_표식,"")),"")</f>
        <v/>
      </c>
      <c r="AF30" s="26" t="str">
        <f ca="1">IFERROR(IF(LEN(_xlfn.SINGLE(중요_시점34[[#This Row],[요일]]))=0,"",IF(AND(AF$7=$E30,$F30=1),중요_시점_표식,"")),"")</f>
        <v/>
      </c>
      <c r="AG30" s="26" t="str">
        <f ca="1">IFERROR(IF(LEN(_xlfn.SINGLE(중요_시점34[[#This Row],[요일]]))=0,"",IF(AND(AG$7=$E30,$F30=1),중요_시점_표식,"")),"")</f>
        <v/>
      </c>
      <c r="AH30" s="26" t="str">
        <f ca="1">IFERROR(IF(LEN(_xlfn.SINGLE(중요_시점34[[#This Row],[요일]]))=0,"",IF(AND(AH$7=$E30,$F30=1),중요_시점_표식,"")),"")</f>
        <v/>
      </c>
      <c r="AI30" s="26" t="str">
        <f ca="1">IFERROR(IF(LEN(_xlfn.SINGLE(중요_시점34[[#This Row],[요일]]))=0,"",IF(AND(AI$7=$E30,$F30=1),중요_시점_표식,"")),"")</f>
        <v/>
      </c>
      <c r="AJ30" s="26" t="str">
        <f ca="1">IFERROR(IF(LEN(_xlfn.SINGLE(중요_시점34[[#This Row],[요일]]))=0,"",IF(AND(AJ$7=$E30,$F30=1),중요_시점_표식,"")),"")</f>
        <v/>
      </c>
      <c r="AK30" s="26" t="str">
        <f ca="1">IFERROR(IF(LEN(_xlfn.SINGLE(중요_시점34[[#This Row],[요일]]))=0,"",IF(AND(AK$7=$E30,$F30=1),중요_시점_표식,"")),"")</f>
        <v/>
      </c>
      <c r="AL30" s="26" t="str">
        <f ca="1">IFERROR(IF(LEN(_xlfn.SINGLE(중요_시점34[[#This Row],[요일]]))=0,"",IF(AND(AL$7=$E30,$F30=1),중요_시점_표식,"")),"")</f>
        <v/>
      </c>
      <c r="AM30" s="26" t="str">
        <f ca="1">IFERROR(IF(LEN(_xlfn.SINGLE(중요_시점34[[#This Row],[요일]]))=0,"",IF(AND(AM$7=$E30,$F30=1),중요_시점_표식,"")),"")</f>
        <v/>
      </c>
      <c r="AN30" s="26" t="str">
        <f ca="1">IFERROR(IF(LEN(_xlfn.SINGLE(중요_시점34[[#This Row],[요일]]))=0,"",IF(AND(AN$7=$E30,$F30=1),중요_시점_표식,"")),"")</f>
        <v/>
      </c>
      <c r="AO30" s="26" t="str">
        <f ca="1">IFERROR(IF(LEN(_xlfn.SINGLE(중요_시점34[[#This Row],[요일]]))=0,"",IF(AND(AO$7=$E30,$F30=1),중요_시점_표식,"")),"")</f>
        <v/>
      </c>
      <c r="AP30" s="26" t="str">
        <f ca="1">IFERROR(IF(LEN(_xlfn.SINGLE(중요_시점34[[#This Row],[요일]]))=0,"",IF(AND(AP$7=$E30,$F30=1),중요_시점_표식,"")),"")</f>
        <v/>
      </c>
      <c r="AQ30" s="26" t="str">
        <f ca="1">IFERROR(IF(LEN(_xlfn.SINGLE(중요_시점34[[#This Row],[요일]]))=0,"",IF(AND(AQ$7=$E30,$F30=1),중요_시점_표식,"")),"")</f>
        <v/>
      </c>
      <c r="AR30" s="26" t="str">
        <f ca="1">IFERROR(IF(LEN(_xlfn.SINGLE(중요_시점34[[#This Row],[요일]]))=0,"",IF(AND(AR$7=$E30,$F30=1),중요_시점_표식,"")),"")</f>
        <v/>
      </c>
      <c r="AS30" s="26" t="str">
        <f ca="1">IFERROR(IF(LEN(_xlfn.SINGLE(중요_시점34[[#This Row],[요일]]))=0,"",IF(AND(AS$7=$E30,$F30=1),중요_시점_표식,"")),"")</f>
        <v/>
      </c>
      <c r="AT30" s="26" t="str">
        <f ca="1">IFERROR(IF(LEN(_xlfn.SINGLE(중요_시점34[[#This Row],[요일]]))=0,"",IF(AND(AT$7=$E30,$F30=1),중요_시점_표식,"")),"")</f>
        <v/>
      </c>
      <c r="AU30" s="26" t="str">
        <f ca="1">IFERROR(IF(LEN(_xlfn.SINGLE(중요_시점34[[#This Row],[요일]]))=0,"",IF(AND(AU$7=$E30,$F30=1),중요_시점_표식,"")),"")</f>
        <v/>
      </c>
      <c r="AV30" s="26" t="str">
        <f ca="1">IFERROR(IF(LEN(_xlfn.SINGLE(중요_시점34[[#This Row],[요일]]))=0,"",IF(AND(AV$7=$E30,$F30=1),중요_시점_표식,"")),"")</f>
        <v/>
      </c>
      <c r="AW30" s="26" t="str">
        <f ca="1">IFERROR(IF(LEN(_xlfn.SINGLE(중요_시점34[[#This Row],[요일]]))=0,"",IF(AND(AW$7=$E30,$F30=1),중요_시점_표식,"")),"")</f>
        <v/>
      </c>
      <c r="AX30" s="26" t="str">
        <f ca="1">IFERROR(IF(LEN(_xlfn.SINGLE(중요_시점34[[#This Row],[요일]]))=0,"",IF(AND(AX$7=$E30,$F30=1),중요_시점_표식,"")),"")</f>
        <v/>
      </c>
      <c r="AY30" s="26" t="str">
        <f ca="1">IFERROR(IF(LEN(_xlfn.SINGLE(중요_시점34[[#This Row],[요일]]))=0,"",IF(AND(AY$7=$E30,$F30=1),중요_시점_표식,"")),"")</f>
        <v/>
      </c>
      <c r="AZ30" s="26" t="str">
        <f ca="1">IFERROR(IF(LEN(_xlfn.SINGLE(중요_시점34[[#This Row],[요일]]))=0,"",IF(AND(AZ$7=$E30,$F30=1),중요_시점_표식,"")),"")</f>
        <v/>
      </c>
      <c r="BA30" s="26" t="str">
        <f ca="1">IFERROR(IF(LEN(_xlfn.SINGLE(중요_시점34[[#This Row],[요일]]))=0,"",IF(AND(BA$7=$E30,$F30=1),중요_시점_표식,"")),"")</f>
        <v/>
      </c>
      <c r="BB30" s="26" t="str">
        <f ca="1">IFERROR(IF(LEN(_xlfn.SINGLE(중요_시점34[[#This Row],[요일]]))=0,"",IF(AND(BB$7=$E30,$F30=1),중요_시점_표식,"")),"")</f>
        <v/>
      </c>
      <c r="BC30" s="26" t="str">
        <f ca="1">IFERROR(IF(LEN(_xlfn.SINGLE(중요_시점34[[#This Row],[요일]]))=0,"",IF(AND(BC$7=$E30,$F30=1),중요_시점_표식,"")),"")</f>
        <v/>
      </c>
      <c r="BD30" s="26" t="str">
        <f ca="1">IFERROR(IF(LEN(_xlfn.SINGLE(중요_시점34[[#This Row],[요일]]))=0,"",IF(AND(BD$7=$E30,$F30=1),중요_시점_표식,"")),"")</f>
        <v/>
      </c>
      <c r="BE30" s="26" t="str">
        <f ca="1">IFERROR(IF(LEN(_xlfn.SINGLE(중요_시점34[[#This Row],[요일]]))=0,"",IF(AND(BE$7=$E30,$F30=1),중요_시점_표식,"")),"")</f>
        <v/>
      </c>
      <c r="BF30" s="26" t="str">
        <f ca="1">IFERROR(IF(LEN(_xlfn.SINGLE(중요_시점34[[#This Row],[요일]]))=0,"",IF(AND(BF$7=$E30,$F30=1),중요_시점_표식,"")),"")</f>
        <v/>
      </c>
      <c r="BG30" s="26" t="str">
        <f ca="1">IFERROR(IF(LEN(_xlfn.SINGLE(중요_시점34[[#This Row],[요일]]))=0,"",IF(AND(BG$7=$E30,$F30=1),중요_시점_표식,"")),"")</f>
        <v/>
      </c>
      <c r="BH30" s="26" t="str">
        <f ca="1">IFERROR(IF(LEN(_xlfn.SINGLE(중요_시점34[[#This Row],[요일]]))=0,"",IF(AND(BH$7=$E30,$F30=1),중요_시점_표식,"")),"")</f>
        <v/>
      </c>
      <c r="BI30" s="26" t="str">
        <f ca="1">IFERROR(IF(LEN(_xlfn.SINGLE(중요_시점34[[#This Row],[요일]]))=0,"",IF(AND(BI$7=$E30,$F30=1),중요_시점_표식,"")),"")</f>
        <v/>
      </c>
      <c r="BJ30" s="26" t="str">
        <f ca="1">IFERROR(IF(LEN(_xlfn.SINGLE(중요_시점34[[#This Row],[요일]]))=0,"",IF(AND(BJ$7=$E30,$F30=1),중요_시점_표식,"")),"")</f>
        <v/>
      </c>
      <c r="BK30" s="26" t="str">
        <f ca="1">IFERROR(IF(LEN(_xlfn.SINGLE(중요_시점34[[#This Row],[요일]]))=0,"",IF(AND(BK$7=$E30,$F30=1),중요_시점_표식,"")),"")</f>
        <v/>
      </c>
    </row>
    <row r="31" spans="1:63" s="1" customFormat="1" ht="30" customHeight="1" outlineLevel="1">
      <c r="A31" s="5"/>
      <c r="B31" s="49" t="s">
        <v>12</v>
      </c>
      <c r="C31" s="13"/>
      <c r="D31" s="82"/>
      <c r="E31" s="42">
        <f ca="1">TODAY()+80</f>
        <v>44668</v>
      </c>
      <c r="F31" s="12">
        <v>5</v>
      </c>
      <c r="G31" s="27"/>
      <c r="H31" s="26" t="str">
        <f ca="1">IFERROR(IF(LEN(_xlfn.SINGLE(중요_시점34[[#This Row],[요일]]))=0,"",IF(AND(H$7=$E31,$F31=1),중요_시점_표식,"")),"")</f>
        <v/>
      </c>
      <c r="I31" s="26" t="str">
        <f ca="1">IFERROR(IF(LEN(_xlfn.SINGLE(중요_시점34[[#This Row],[요일]]))=0,"",IF(AND(I$7=$E31,$F31=1),중요_시점_표식,"")),"")</f>
        <v/>
      </c>
      <c r="J31" s="26" t="str">
        <f ca="1">IFERROR(IF(LEN(_xlfn.SINGLE(중요_시점34[[#This Row],[요일]]))=0,"",IF(AND(J$7=$E31,$F31=1),중요_시점_표식,"")),"")</f>
        <v/>
      </c>
      <c r="K31" s="26" t="str">
        <f ca="1">IFERROR(IF(LEN(_xlfn.SINGLE(중요_시점34[[#This Row],[요일]]))=0,"",IF(AND(K$7=$E31,$F31=1),중요_시점_표식,"")),"")</f>
        <v/>
      </c>
      <c r="L31" s="26" t="str">
        <f ca="1">IFERROR(IF(LEN(_xlfn.SINGLE(중요_시점34[[#This Row],[요일]]))=0,"",IF(AND(L$7=$E31,$F31=1),중요_시점_표식,"")),"")</f>
        <v/>
      </c>
      <c r="M31" s="26" t="str">
        <f ca="1">IFERROR(IF(LEN(_xlfn.SINGLE(중요_시점34[[#This Row],[요일]]))=0,"",IF(AND(M$7=$E31,$F31=1),중요_시점_표식,"")),"")</f>
        <v/>
      </c>
      <c r="N31" s="26" t="str">
        <f ca="1">IFERROR(IF(LEN(_xlfn.SINGLE(중요_시점34[[#This Row],[요일]]))=0,"",IF(AND(N$7=$E31,$F31=1),중요_시점_표식,"")),"")</f>
        <v/>
      </c>
      <c r="O31" s="26" t="str">
        <f ca="1">IFERROR(IF(LEN(_xlfn.SINGLE(중요_시점34[[#This Row],[요일]]))=0,"",IF(AND(O$7=$E31,$F31=1),중요_시점_표식,"")),"")</f>
        <v/>
      </c>
      <c r="P31" s="26" t="str">
        <f ca="1">IFERROR(IF(LEN(_xlfn.SINGLE(중요_시점34[[#This Row],[요일]]))=0,"",IF(AND(P$7=$E31,$F31=1),중요_시점_표식,"")),"")</f>
        <v/>
      </c>
      <c r="Q31" s="26" t="str">
        <f ca="1">IFERROR(IF(LEN(_xlfn.SINGLE(중요_시점34[[#This Row],[요일]]))=0,"",IF(AND(Q$7=$E31,$F31=1),중요_시점_표식,"")),"")</f>
        <v/>
      </c>
      <c r="R31" s="26" t="str">
        <f ca="1">IFERROR(IF(LEN(_xlfn.SINGLE(중요_시점34[[#This Row],[요일]]))=0,"",IF(AND(R$7=$E31,$F31=1),중요_시점_표식,"")),"")</f>
        <v/>
      </c>
      <c r="S31" s="26" t="str">
        <f ca="1">IFERROR(IF(LEN(_xlfn.SINGLE(중요_시점34[[#This Row],[요일]]))=0,"",IF(AND(S$7=$E31,$F31=1),중요_시점_표식,"")),"")</f>
        <v/>
      </c>
      <c r="T31" s="26" t="str">
        <f ca="1">IFERROR(IF(LEN(_xlfn.SINGLE(중요_시점34[[#This Row],[요일]]))=0,"",IF(AND(T$7=$E31,$F31=1),중요_시점_표식,"")),"")</f>
        <v/>
      </c>
      <c r="U31" s="26" t="str">
        <f ca="1">IFERROR(IF(LEN(_xlfn.SINGLE(중요_시점34[[#This Row],[요일]]))=0,"",IF(AND(U$7=$E31,$F31=1),중요_시점_표식,"")),"")</f>
        <v/>
      </c>
      <c r="V31" s="26" t="str">
        <f ca="1">IFERROR(IF(LEN(_xlfn.SINGLE(중요_시점34[[#This Row],[요일]]))=0,"",IF(AND(V$7=$E31,$F31=1),중요_시점_표식,"")),"")</f>
        <v/>
      </c>
      <c r="W31" s="26" t="str">
        <f ca="1">IFERROR(IF(LEN(_xlfn.SINGLE(중요_시점34[[#This Row],[요일]]))=0,"",IF(AND(W$7=$E31,$F31=1),중요_시점_표식,"")),"")</f>
        <v/>
      </c>
      <c r="X31" s="26" t="str">
        <f ca="1">IFERROR(IF(LEN(_xlfn.SINGLE(중요_시점34[[#This Row],[요일]]))=0,"",IF(AND(X$7=$E31,$F31=1),중요_시점_표식,"")),"")</f>
        <v/>
      </c>
      <c r="Y31" s="26" t="str">
        <f ca="1">IFERROR(IF(LEN(_xlfn.SINGLE(중요_시점34[[#This Row],[요일]]))=0,"",IF(AND(Y$7=$E31,$F31=1),중요_시점_표식,"")),"")</f>
        <v/>
      </c>
      <c r="Z31" s="26" t="str">
        <f ca="1">IFERROR(IF(LEN(_xlfn.SINGLE(중요_시점34[[#This Row],[요일]]))=0,"",IF(AND(Z$7=$E31,$F31=1),중요_시점_표식,"")),"")</f>
        <v/>
      </c>
      <c r="AA31" s="26" t="str">
        <f ca="1">IFERROR(IF(LEN(_xlfn.SINGLE(중요_시점34[[#This Row],[요일]]))=0,"",IF(AND(AA$7=$E31,$F31=1),중요_시점_표식,"")),"")</f>
        <v/>
      </c>
      <c r="AB31" s="26" t="str">
        <f ca="1">IFERROR(IF(LEN(_xlfn.SINGLE(중요_시점34[[#This Row],[요일]]))=0,"",IF(AND(AB$7=$E31,$F31=1),중요_시점_표식,"")),"")</f>
        <v/>
      </c>
      <c r="AC31" s="26" t="str">
        <f ca="1">IFERROR(IF(LEN(_xlfn.SINGLE(중요_시점34[[#This Row],[요일]]))=0,"",IF(AND(AC$7=$E31,$F31=1),중요_시점_표식,"")),"")</f>
        <v/>
      </c>
      <c r="AD31" s="26" t="str">
        <f ca="1">IFERROR(IF(LEN(_xlfn.SINGLE(중요_시점34[[#This Row],[요일]]))=0,"",IF(AND(AD$7=$E31,$F31=1),중요_시점_표식,"")),"")</f>
        <v/>
      </c>
      <c r="AE31" s="26" t="str">
        <f ca="1">IFERROR(IF(LEN(_xlfn.SINGLE(중요_시점34[[#This Row],[요일]]))=0,"",IF(AND(AE$7=$E31,$F31=1),중요_시점_표식,"")),"")</f>
        <v/>
      </c>
      <c r="AF31" s="26" t="str">
        <f ca="1">IFERROR(IF(LEN(_xlfn.SINGLE(중요_시점34[[#This Row],[요일]]))=0,"",IF(AND(AF$7=$E31,$F31=1),중요_시점_표식,"")),"")</f>
        <v/>
      </c>
      <c r="AG31" s="26" t="str">
        <f ca="1">IFERROR(IF(LEN(_xlfn.SINGLE(중요_시점34[[#This Row],[요일]]))=0,"",IF(AND(AG$7=$E31,$F31=1),중요_시점_표식,"")),"")</f>
        <v/>
      </c>
      <c r="AH31" s="26" t="str">
        <f ca="1">IFERROR(IF(LEN(_xlfn.SINGLE(중요_시점34[[#This Row],[요일]]))=0,"",IF(AND(AH$7=$E31,$F31=1),중요_시점_표식,"")),"")</f>
        <v/>
      </c>
      <c r="AI31" s="26" t="str">
        <f ca="1">IFERROR(IF(LEN(_xlfn.SINGLE(중요_시점34[[#This Row],[요일]]))=0,"",IF(AND(AI$7=$E31,$F31=1),중요_시점_표식,"")),"")</f>
        <v/>
      </c>
      <c r="AJ31" s="26" t="str">
        <f ca="1">IFERROR(IF(LEN(_xlfn.SINGLE(중요_시점34[[#This Row],[요일]]))=0,"",IF(AND(AJ$7=$E31,$F31=1),중요_시점_표식,"")),"")</f>
        <v/>
      </c>
      <c r="AK31" s="26" t="str">
        <f ca="1">IFERROR(IF(LEN(_xlfn.SINGLE(중요_시점34[[#This Row],[요일]]))=0,"",IF(AND(AK$7=$E31,$F31=1),중요_시점_표식,"")),"")</f>
        <v/>
      </c>
      <c r="AL31" s="26" t="str">
        <f ca="1">IFERROR(IF(LEN(_xlfn.SINGLE(중요_시점34[[#This Row],[요일]]))=0,"",IF(AND(AL$7=$E31,$F31=1),중요_시점_표식,"")),"")</f>
        <v/>
      </c>
      <c r="AM31" s="26" t="str">
        <f ca="1">IFERROR(IF(LEN(_xlfn.SINGLE(중요_시점34[[#This Row],[요일]]))=0,"",IF(AND(AM$7=$E31,$F31=1),중요_시점_표식,"")),"")</f>
        <v/>
      </c>
      <c r="AN31" s="26" t="str">
        <f ca="1">IFERROR(IF(LEN(_xlfn.SINGLE(중요_시점34[[#This Row],[요일]]))=0,"",IF(AND(AN$7=$E31,$F31=1),중요_시점_표식,"")),"")</f>
        <v/>
      </c>
      <c r="AO31" s="26" t="str">
        <f ca="1">IFERROR(IF(LEN(_xlfn.SINGLE(중요_시점34[[#This Row],[요일]]))=0,"",IF(AND(AO$7=$E31,$F31=1),중요_시점_표식,"")),"")</f>
        <v/>
      </c>
      <c r="AP31" s="26" t="str">
        <f ca="1">IFERROR(IF(LEN(_xlfn.SINGLE(중요_시점34[[#This Row],[요일]]))=0,"",IF(AND(AP$7=$E31,$F31=1),중요_시점_표식,"")),"")</f>
        <v/>
      </c>
      <c r="AQ31" s="26" t="str">
        <f ca="1">IFERROR(IF(LEN(_xlfn.SINGLE(중요_시점34[[#This Row],[요일]]))=0,"",IF(AND(AQ$7=$E31,$F31=1),중요_시점_표식,"")),"")</f>
        <v/>
      </c>
      <c r="AR31" s="26" t="str">
        <f ca="1">IFERROR(IF(LEN(_xlfn.SINGLE(중요_시점34[[#This Row],[요일]]))=0,"",IF(AND(AR$7=$E31,$F31=1),중요_시점_표식,"")),"")</f>
        <v/>
      </c>
      <c r="AS31" s="26" t="str">
        <f ca="1">IFERROR(IF(LEN(_xlfn.SINGLE(중요_시점34[[#This Row],[요일]]))=0,"",IF(AND(AS$7=$E31,$F31=1),중요_시점_표식,"")),"")</f>
        <v/>
      </c>
      <c r="AT31" s="26" t="str">
        <f ca="1">IFERROR(IF(LEN(_xlfn.SINGLE(중요_시점34[[#This Row],[요일]]))=0,"",IF(AND(AT$7=$E31,$F31=1),중요_시점_표식,"")),"")</f>
        <v/>
      </c>
      <c r="AU31" s="26" t="str">
        <f ca="1">IFERROR(IF(LEN(_xlfn.SINGLE(중요_시점34[[#This Row],[요일]]))=0,"",IF(AND(AU$7=$E31,$F31=1),중요_시점_표식,"")),"")</f>
        <v/>
      </c>
      <c r="AV31" s="26" t="str">
        <f ca="1">IFERROR(IF(LEN(_xlfn.SINGLE(중요_시점34[[#This Row],[요일]]))=0,"",IF(AND(AV$7=$E31,$F31=1),중요_시점_표식,"")),"")</f>
        <v/>
      </c>
      <c r="AW31" s="26" t="str">
        <f ca="1">IFERROR(IF(LEN(_xlfn.SINGLE(중요_시점34[[#This Row],[요일]]))=0,"",IF(AND(AW$7=$E31,$F31=1),중요_시점_표식,"")),"")</f>
        <v/>
      </c>
      <c r="AX31" s="26" t="str">
        <f ca="1">IFERROR(IF(LEN(_xlfn.SINGLE(중요_시점34[[#This Row],[요일]]))=0,"",IF(AND(AX$7=$E31,$F31=1),중요_시점_표식,"")),"")</f>
        <v/>
      </c>
      <c r="AY31" s="26" t="str">
        <f ca="1">IFERROR(IF(LEN(_xlfn.SINGLE(중요_시점34[[#This Row],[요일]]))=0,"",IF(AND(AY$7=$E31,$F31=1),중요_시점_표식,"")),"")</f>
        <v/>
      </c>
      <c r="AZ31" s="26" t="str">
        <f ca="1">IFERROR(IF(LEN(_xlfn.SINGLE(중요_시점34[[#This Row],[요일]]))=0,"",IF(AND(AZ$7=$E31,$F31=1),중요_시점_표식,"")),"")</f>
        <v/>
      </c>
      <c r="BA31" s="26" t="str">
        <f ca="1">IFERROR(IF(LEN(_xlfn.SINGLE(중요_시점34[[#This Row],[요일]]))=0,"",IF(AND(BA$7=$E31,$F31=1),중요_시점_표식,"")),"")</f>
        <v/>
      </c>
      <c r="BB31" s="26" t="str">
        <f ca="1">IFERROR(IF(LEN(_xlfn.SINGLE(중요_시점34[[#This Row],[요일]]))=0,"",IF(AND(BB$7=$E31,$F31=1),중요_시점_표식,"")),"")</f>
        <v/>
      </c>
      <c r="BC31" s="26" t="str">
        <f ca="1">IFERROR(IF(LEN(_xlfn.SINGLE(중요_시점34[[#This Row],[요일]]))=0,"",IF(AND(BC$7=$E31,$F31=1),중요_시점_표식,"")),"")</f>
        <v/>
      </c>
      <c r="BD31" s="26" t="str">
        <f ca="1">IFERROR(IF(LEN(_xlfn.SINGLE(중요_시점34[[#This Row],[요일]]))=0,"",IF(AND(BD$7=$E31,$F31=1),중요_시점_표식,"")),"")</f>
        <v/>
      </c>
      <c r="BE31" s="26" t="str">
        <f ca="1">IFERROR(IF(LEN(_xlfn.SINGLE(중요_시점34[[#This Row],[요일]]))=0,"",IF(AND(BE$7=$E31,$F31=1),중요_시점_표식,"")),"")</f>
        <v/>
      </c>
      <c r="BF31" s="26" t="str">
        <f ca="1">IFERROR(IF(LEN(_xlfn.SINGLE(중요_시점34[[#This Row],[요일]]))=0,"",IF(AND(BF$7=$E31,$F31=1),중요_시점_표식,"")),"")</f>
        <v/>
      </c>
      <c r="BG31" s="26" t="str">
        <f ca="1">IFERROR(IF(LEN(_xlfn.SINGLE(중요_시점34[[#This Row],[요일]]))=0,"",IF(AND(BG$7=$E31,$F31=1),중요_시점_표식,"")),"")</f>
        <v/>
      </c>
      <c r="BH31" s="26" t="str">
        <f ca="1">IFERROR(IF(LEN(_xlfn.SINGLE(중요_시점34[[#This Row],[요일]]))=0,"",IF(AND(BH$7=$E31,$F31=1),중요_시점_표식,"")),"")</f>
        <v/>
      </c>
      <c r="BI31" s="26" t="str">
        <f ca="1">IFERROR(IF(LEN(_xlfn.SINGLE(중요_시점34[[#This Row],[요일]]))=0,"",IF(AND(BI$7=$E31,$F31=1),중요_시점_표식,"")),"")</f>
        <v/>
      </c>
      <c r="BJ31" s="26" t="str">
        <f ca="1">IFERROR(IF(LEN(_xlfn.SINGLE(중요_시점34[[#This Row],[요일]]))=0,"",IF(AND(BJ$7=$E31,$F31=1),중요_시점_표식,"")),"")</f>
        <v/>
      </c>
      <c r="BK31" s="26" t="str">
        <f ca="1">IFERROR(IF(LEN(_xlfn.SINGLE(중요_시점34[[#This Row],[요일]]))=0,"",IF(AND(BK$7=$E31,$F31=1),중요_시점_표식,"")),"")</f>
        <v/>
      </c>
    </row>
    <row r="32" spans="1:63" s="1" customFormat="1" ht="30" customHeight="1" outlineLevel="1">
      <c r="A32" s="5"/>
      <c r="B32" s="49" t="s">
        <v>13</v>
      </c>
      <c r="C32" s="13"/>
      <c r="D32" s="82"/>
      <c r="E32" s="42"/>
      <c r="F32" s="12"/>
      <c r="G32" s="27"/>
      <c r="H32" s="26" t="str">
        <f>IFERROR(IF(LEN(_xlfn.SINGLE(중요_시점34[[#This Row],[요일]]))=0,"",IF(AND(H$7=$E32,$F32=1),중요_시점_표식,"")),"")</f>
        <v/>
      </c>
      <c r="I32" s="26" t="str">
        <f>IFERROR(IF(LEN(_xlfn.SINGLE(중요_시점34[[#This Row],[요일]]))=0,"",IF(AND(I$7=$E32,$F32=1),중요_시점_표식,"")),"")</f>
        <v/>
      </c>
      <c r="J32" s="26" t="str">
        <f>IFERROR(IF(LEN(_xlfn.SINGLE(중요_시점34[[#This Row],[요일]]))=0,"",IF(AND(J$7=$E32,$F32=1),중요_시점_표식,"")),"")</f>
        <v/>
      </c>
      <c r="K32" s="26" t="str">
        <f>IFERROR(IF(LEN(_xlfn.SINGLE(중요_시점34[[#This Row],[요일]]))=0,"",IF(AND(K$7=$E32,$F32=1),중요_시점_표식,"")),"")</f>
        <v/>
      </c>
      <c r="L32" s="26" t="str">
        <f>IFERROR(IF(LEN(_xlfn.SINGLE(중요_시점34[[#This Row],[요일]]))=0,"",IF(AND(L$7=$E32,$F32=1),중요_시점_표식,"")),"")</f>
        <v/>
      </c>
      <c r="M32" s="26" t="str">
        <f>IFERROR(IF(LEN(_xlfn.SINGLE(중요_시점34[[#This Row],[요일]]))=0,"",IF(AND(M$7=$E32,$F32=1),중요_시점_표식,"")),"")</f>
        <v/>
      </c>
      <c r="N32" s="26" t="str">
        <f>IFERROR(IF(LEN(_xlfn.SINGLE(중요_시점34[[#This Row],[요일]]))=0,"",IF(AND(N$7=$E32,$F32=1),중요_시점_표식,"")),"")</f>
        <v/>
      </c>
      <c r="O32" s="26" t="str">
        <f>IFERROR(IF(LEN(_xlfn.SINGLE(중요_시점34[[#This Row],[요일]]))=0,"",IF(AND(O$7=$E32,$F32=1),중요_시점_표식,"")),"")</f>
        <v/>
      </c>
      <c r="P32" s="26" t="str">
        <f>IFERROR(IF(LEN(_xlfn.SINGLE(중요_시점34[[#This Row],[요일]]))=0,"",IF(AND(P$7=$E32,$F32=1),중요_시점_표식,"")),"")</f>
        <v/>
      </c>
      <c r="Q32" s="26" t="str">
        <f>IFERROR(IF(LEN(_xlfn.SINGLE(중요_시점34[[#This Row],[요일]]))=0,"",IF(AND(Q$7=$E32,$F32=1),중요_시점_표식,"")),"")</f>
        <v/>
      </c>
      <c r="R32" s="26" t="str">
        <f>IFERROR(IF(LEN(_xlfn.SINGLE(중요_시점34[[#This Row],[요일]]))=0,"",IF(AND(R$7=$E32,$F32=1),중요_시점_표식,"")),"")</f>
        <v/>
      </c>
      <c r="S32" s="26" t="str">
        <f>IFERROR(IF(LEN(_xlfn.SINGLE(중요_시점34[[#This Row],[요일]]))=0,"",IF(AND(S$7=$E32,$F32=1),중요_시점_표식,"")),"")</f>
        <v/>
      </c>
      <c r="T32" s="26" t="str">
        <f>IFERROR(IF(LEN(_xlfn.SINGLE(중요_시점34[[#This Row],[요일]]))=0,"",IF(AND(T$7=$E32,$F32=1),중요_시점_표식,"")),"")</f>
        <v/>
      </c>
      <c r="U32" s="26" t="str">
        <f>IFERROR(IF(LEN(_xlfn.SINGLE(중요_시점34[[#This Row],[요일]]))=0,"",IF(AND(U$7=$E32,$F32=1),중요_시점_표식,"")),"")</f>
        <v/>
      </c>
      <c r="V32" s="26" t="str">
        <f>IFERROR(IF(LEN(_xlfn.SINGLE(중요_시점34[[#This Row],[요일]]))=0,"",IF(AND(V$7=$E32,$F32=1),중요_시점_표식,"")),"")</f>
        <v/>
      </c>
      <c r="W32" s="26" t="str">
        <f>IFERROR(IF(LEN(_xlfn.SINGLE(중요_시점34[[#This Row],[요일]]))=0,"",IF(AND(W$7=$E32,$F32=1),중요_시점_표식,"")),"")</f>
        <v/>
      </c>
      <c r="X32" s="26" t="str">
        <f>IFERROR(IF(LEN(_xlfn.SINGLE(중요_시점34[[#This Row],[요일]]))=0,"",IF(AND(X$7=$E32,$F32=1),중요_시점_표식,"")),"")</f>
        <v/>
      </c>
      <c r="Y32" s="26" t="str">
        <f>IFERROR(IF(LEN(_xlfn.SINGLE(중요_시점34[[#This Row],[요일]]))=0,"",IF(AND(Y$7=$E32,$F32=1),중요_시점_표식,"")),"")</f>
        <v/>
      </c>
      <c r="Z32" s="26" t="str">
        <f>IFERROR(IF(LEN(_xlfn.SINGLE(중요_시점34[[#This Row],[요일]]))=0,"",IF(AND(Z$7=$E32,$F32=1),중요_시점_표식,"")),"")</f>
        <v/>
      </c>
      <c r="AA32" s="26" t="str">
        <f>IFERROR(IF(LEN(_xlfn.SINGLE(중요_시점34[[#This Row],[요일]]))=0,"",IF(AND(AA$7=$E32,$F32=1),중요_시점_표식,"")),"")</f>
        <v/>
      </c>
      <c r="AB32" s="26" t="str">
        <f>IFERROR(IF(LEN(_xlfn.SINGLE(중요_시점34[[#This Row],[요일]]))=0,"",IF(AND(AB$7=$E32,$F32=1),중요_시점_표식,"")),"")</f>
        <v/>
      </c>
      <c r="AC32" s="26" t="str">
        <f>IFERROR(IF(LEN(_xlfn.SINGLE(중요_시점34[[#This Row],[요일]]))=0,"",IF(AND(AC$7=$E32,$F32=1),중요_시점_표식,"")),"")</f>
        <v/>
      </c>
      <c r="AD32" s="26" t="str">
        <f>IFERROR(IF(LEN(_xlfn.SINGLE(중요_시점34[[#This Row],[요일]]))=0,"",IF(AND(AD$7=$E32,$F32=1),중요_시점_표식,"")),"")</f>
        <v/>
      </c>
      <c r="AE32" s="26" t="str">
        <f>IFERROR(IF(LEN(_xlfn.SINGLE(중요_시점34[[#This Row],[요일]]))=0,"",IF(AND(AE$7=$E32,$F32=1),중요_시점_표식,"")),"")</f>
        <v/>
      </c>
      <c r="AF32" s="26" t="str">
        <f>IFERROR(IF(LEN(_xlfn.SINGLE(중요_시점34[[#This Row],[요일]]))=0,"",IF(AND(AF$7=$E32,$F32=1),중요_시점_표식,"")),"")</f>
        <v/>
      </c>
      <c r="AG32" s="26" t="str">
        <f>IFERROR(IF(LEN(_xlfn.SINGLE(중요_시점34[[#This Row],[요일]]))=0,"",IF(AND(AG$7=$E32,$F32=1),중요_시점_표식,"")),"")</f>
        <v/>
      </c>
      <c r="AH32" s="26" t="str">
        <f>IFERROR(IF(LEN(_xlfn.SINGLE(중요_시점34[[#This Row],[요일]]))=0,"",IF(AND(AH$7=$E32,$F32=1),중요_시점_표식,"")),"")</f>
        <v/>
      </c>
      <c r="AI32" s="26" t="str">
        <f>IFERROR(IF(LEN(_xlfn.SINGLE(중요_시점34[[#This Row],[요일]]))=0,"",IF(AND(AI$7=$E32,$F32=1),중요_시점_표식,"")),"")</f>
        <v/>
      </c>
      <c r="AJ32" s="26" t="str">
        <f>IFERROR(IF(LEN(_xlfn.SINGLE(중요_시점34[[#This Row],[요일]]))=0,"",IF(AND(AJ$7=$E32,$F32=1),중요_시점_표식,"")),"")</f>
        <v/>
      </c>
      <c r="AK32" s="26" t="str">
        <f>IFERROR(IF(LEN(_xlfn.SINGLE(중요_시점34[[#This Row],[요일]]))=0,"",IF(AND(AK$7=$E32,$F32=1),중요_시점_표식,"")),"")</f>
        <v/>
      </c>
      <c r="AL32" s="26" t="str">
        <f>IFERROR(IF(LEN(_xlfn.SINGLE(중요_시점34[[#This Row],[요일]]))=0,"",IF(AND(AL$7=$E32,$F32=1),중요_시점_표식,"")),"")</f>
        <v/>
      </c>
      <c r="AM32" s="26" t="str">
        <f>IFERROR(IF(LEN(_xlfn.SINGLE(중요_시점34[[#This Row],[요일]]))=0,"",IF(AND(AM$7=$E32,$F32=1),중요_시점_표식,"")),"")</f>
        <v/>
      </c>
      <c r="AN32" s="26" t="str">
        <f>IFERROR(IF(LEN(_xlfn.SINGLE(중요_시점34[[#This Row],[요일]]))=0,"",IF(AND(AN$7=$E32,$F32=1),중요_시점_표식,"")),"")</f>
        <v/>
      </c>
      <c r="AO32" s="26" t="str">
        <f>IFERROR(IF(LEN(_xlfn.SINGLE(중요_시점34[[#This Row],[요일]]))=0,"",IF(AND(AO$7=$E32,$F32=1),중요_시점_표식,"")),"")</f>
        <v/>
      </c>
      <c r="AP32" s="26" t="str">
        <f>IFERROR(IF(LEN(_xlfn.SINGLE(중요_시점34[[#This Row],[요일]]))=0,"",IF(AND(AP$7=$E32,$F32=1),중요_시점_표식,"")),"")</f>
        <v/>
      </c>
      <c r="AQ32" s="26" t="str">
        <f>IFERROR(IF(LEN(_xlfn.SINGLE(중요_시점34[[#This Row],[요일]]))=0,"",IF(AND(AQ$7=$E32,$F32=1),중요_시점_표식,"")),"")</f>
        <v/>
      </c>
      <c r="AR32" s="26" t="str">
        <f>IFERROR(IF(LEN(_xlfn.SINGLE(중요_시점34[[#This Row],[요일]]))=0,"",IF(AND(AR$7=$E32,$F32=1),중요_시점_표식,"")),"")</f>
        <v/>
      </c>
      <c r="AS32" s="26" t="str">
        <f>IFERROR(IF(LEN(_xlfn.SINGLE(중요_시점34[[#This Row],[요일]]))=0,"",IF(AND(AS$7=$E32,$F32=1),중요_시점_표식,"")),"")</f>
        <v/>
      </c>
      <c r="AT32" s="26" t="str">
        <f>IFERROR(IF(LEN(_xlfn.SINGLE(중요_시점34[[#This Row],[요일]]))=0,"",IF(AND(AT$7=$E32,$F32=1),중요_시점_표식,"")),"")</f>
        <v/>
      </c>
      <c r="AU32" s="26" t="str">
        <f>IFERROR(IF(LEN(_xlfn.SINGLE(중요_시점34[[#This Row],[요일]]))=0,"",IF(AND(AU$7=$E32,$F32=1),중요_시점_표식,"")),"")</f>
        <v/>
      </c>
      <c r="AV32" s="26" t="str">
        <f>IFERROR(IF(LEN(_xlfn.SINGLE(중요_시점34[[#This Row],[요일]]))=0,"",IF(AND(AV$7=$E32,$F32=1),중요_시점_표식,"")),"")</f>
        <v/>
      </c>
      <c r="AW32" s="26" t="str">
        <f>IFERROR(IF(LEN(_xlfn.SINGLE(중요_시점34[[#This Row],[요일]]))=0,"",IF(AND(AW$7=$E32,$F32=1),중요_시점_표식,"")),"")</f>
        <v/>
      </c>
      <c r="AX32" s="26" t="str">
        <f>IFERROR(IF(LEN(_xlfn.SINGLE(중요_시점34[[#This Row],[요일]]))=0,"",IF(AND(AX$7=$E32,$F32=1),중요_시점_표식,"")),"")</f>
        <v/>
      </c>
      <c r="AY32" s="26" t="str">
        <f>IFERROR(IF(LEN(_xlfn.SINGLE(중요_시점34[[#This Row],[요일]]))=0,"",IF(AND(AY$7=$E32,$F32=1),중요_시점_표식,"")),"")</f>
        <v/>
      </c>
      <c r="AZ32" s="26" t="str">
        <f>IFERROR(IF(LEN(_xlfn.SINGLE(중요_시점34[[#This Row],[요일]]))=0,"",IF(AND(AZ$7=$E32,$F32=1),중요_시점_표식,"")),"")</f>
        <v/>
      </c>
      <c r="BA32" s="26" t="str">
        <f>IFERROR(IF(LEN(_xlfn.SINGLE(중요_시점34[[#This Row],[요일]]))=0,"",IF(AND(BA$7=$E32,$F32=1),중요_시점_표식,"")),"")</f>
        <v/>
      </c>
      <c r="BB32" s="26" t="str">
        <f>IFERROR(IF(LEN(_xlfn.SINGLE(중요_시점34[[#This Row],[요일]]))=0,"",IF(AND(BB$7=$E32,$F32=1),중요_시점_표식,"")),"")</f>
        <v/>
      </c>
      <c r="BC32" s="26" t="str">
        <f>IFERROR(IF(LEN(_xlfn.SINGLE(중요_시점34[[#This Row],[요일]]))=0,"",IF(AND(BC$7=$E32,$F32=1),중요_시점_표식,"")),"")</f>
        <v/>
      </c>
      <c r="BD32" s="26" t="str">
        <f>IFERROR(IF(LEN(_xlfn.SINGLE(중요_시점34[[#This Row],[요일]]))=0,"",IF(AND(BD$7=$E32,$F32=1),중요_시점_표식,"")),"")</f>
        <v/>
      </c>
      <c r="BE32" s="26" t="str">
        <f>IFERROR(IF(LEN(_xlfn.SINGLE(중요_시점34[[#This Row],[요일]]))=0,"",IF(AND(BE$7=$E32,$F32=1),중요_시점_표식,"")),"")</f>
        <v/>
      </c>
      <c r="BF32" s="26" t="str">
        <f>IFERROR(IF(LEN(_xlfn.SINGLE(중요_시점34[[#This Row],[요일]]))=0,"",IF(AND(BF$7=$E32,$F32=1),중요_시점_표식,"")),"")</f>
        <v/>
      </c>
      <c r="BG32" s="26" t="str">
        <f>IFERROR(IF(LEN(_xlfn.SINGLE(중요_시점34[[#This Row],[요일]]))=0,"",IF(AND(BG$7=$E32,$F32=1),중요_시점_표식,"")),"")</f>
        <v/>
      </c>
      <c r="BH32" s="26" t="str">
        <f>IFERROR(IF(LEN(_xlfn.SINGLE(중요_시점34[[#This Row],[요일]]))=0,"",IF(AND(BH$7=$E32,$F32=1),중요_시점_표식,"")),"")</f>
        <v/>
      </c>
      <c r="BI32" s="26" t="str">
        <f>IFERROR(IF(LEN(_xlfn.SINGLE(중요_시점34[[#This Row],[요일]]))=0,"",IF(AND(BI$7=$E32,$F32=1),중요_시점_표식,"")),"")</f>
        <v/>
      </c>
      <c r="BJ32" s="26" t="str">
        <f>IFERROR(IF(LEN(_xlfn.SINGLE(중요_시점34[[#This Row],[요일]]))=0,"",IF(AND(BJ$7=$E32,$F32=1),중요_시점_표식,"")),"")</f>
        <v/>
      </c>
      <c r="BK32" s="26" t="str">
        <f>IFERROR(IF(LEN(_xlfn.SINGLE(중요_시점34[[#This Row],[요일]]))=0,"",IF(AND(BK$7=$E32,$F32=1),중요_시점_표식,"")),"")</f>
        <v/>
      </c>
    </row>
    <row r="33" spans="1:63" s="1" customFormat="1" ht="30" customHeight="1" outlineLevel="1">
      <c r="A33" s="5"/>
      <c r="B33" s="49" t="s">
        <v>14</v>
      </c>
      <c r="C33" s="13"/>
      <c r="D33" s="82"/>
      <c r="E33" s="42"/>
      <c r="F33" s="12"/>
      <c r="G33" s="27"/>
      <c r="H33" s="26" t="str">
        <f>IFERROR(IF(LEN(_xlfn.SINGLE(중요_시점34[[#This Row],[요일]]))=0,"",IF(AND(H$7=$E33,$F33=1),중요_시점_표식,"")),"")</f>
        <v/>
      </c>
      <c r="I33" s="26" t="str">
        <f>IFERROR(IF(LEN(_xlfn.SINGLE(중요_시점34[[#This Row],[요일]]))=0,"",IF(AND(I$7=$E33,$F33=1),중요_시점_표식,"")),"")</f>
        <v/>
      </c>
      <c r="J33" s="26" t="str">
        <f>IFERROR(IF(LEN(_xlfn.SINGLE(중요_시점34[[#This Row],[요일]]))=0,"",IF(AND(J$7=$E33,$F33=1),중요_시점_표식,"")),"")</f>
        <v/>
      </c>
      <c r="K33" s="26" t="str">
        <f>IFERROR(IF(LEN(_xlfn.SINGLE(중요_시점34[[#This Row],[요일]]))=0,"",IF(AND(K$7=$E33,$F33=1),중요_시점_표식,"")),"")</f>
        <v/>
      </c>
      <c r="L33" s="26" t="str">
        <f>IFERROR(IF(LEN(_xlfn.SINGLE(중요_시점34[[#This Row],[요일]]))=0,"",IF(AND(L$7=$E33,$F33=1),중요_시점_표식,"")),"")</f>
        <v/>
      </c>
      <c r="M33" s="26" t="str">
        <f>IFERROR(IF(LEN(_xlfn.SINGLE(중요_시점34[[#This Row],[요일]]))=0,"",IF(AND(M$7=$E33,$F33=1),중요_시점_표식,"")),"")</f>
        <v/>
      </c>
      <c r="N33" s="26" t="str">
        <f>IFERROR(IF(LEN(_xlfn.SINGLE(중요_시점34[[#This Row],[요일]]))=0,"",IF(AND(N$7=$E33,$F33=1),중요_시점_표식,"")),"")</f>
        <v/>
      </c>
      <c r="O33" s="26" t="str">
        <f>IFERROR(IF(LEN(_xlfn.SINGLE(중요_시점34[[#This Row],[요일]]))=0,"",IF(AND(O$7=$E33,$F33=1),중요_시점_표식,"")),"")</f>
        <v/>
      </c>
      <c r="P33" s="26" t="str">
        <f>IFERROR(IF(LEN(_xlfn.SINGLE(중요_시점34[[#This Row],[요일]]))=0,"",IF(AND(P$7=$E33,$F33=1),중요_시점_표식,"")),"")</f>
        <v/>
      </c>
      <c r="Q33" s="26" t="str">
        <f>IFERROR(IF(LEN(_xlfn.SINGLE(중요_시점34[[#This Row],[요일]]))=0,"",IF(AND(Q$7=$E33,$F33=1),중요_시점_표식,"")),"")</f>
        <v/>
      </c>
      <c r="R33" s="26" t="str">
        <f>IFERROR(IF(LEN(_xlfn.SINGLE(중요_시점34[[#This Row],[요일]]))=0,"",IF(AND(R$7=$E33,$F33=1),중요_시점_표식,"")),"")</f>
        <v/>
      </c>
      <c r="S33" s="26" t="str">
        <f>IFERROR(IF(LEN(_xlfn.SINGLE(중요_시점34[[#This Row],[요일]]))=0,"",IF(AND(S$7=$E33,$F33=1),중요_시점_표식,"")),"")</f>
        <v/>
      </c>
      <c r="T33" s="26" t="str">
        <f>IFERROR(IF(LEN(_xlfn.SINGLE(중요_시점34[[#This Row],[요일]]))=0,"",IF(AND(T$7=$E33,$F33=1),중요_시점_표식,"")),"")</f>
        <v/>
      </c>
      <c r="U33" s="26" t="str">
        <f>IFERROR(IF(LEN(_xlfn.SINGLE(중요_시점34[[#This Row],[요일]]))=0,"",IF(AND(U$7=$E33,$F33=1),중요_시점_표식,"")),"")</f>
        <v/>
      </c>
      <c r="V33" s="26" t="str">
        <f>IFERROR(IF(LEN(_xlfn.SINGLE(중요_시점34[[#This Row],[요일]]))=0,"",IF(AND(V$7=$E33,$F33=1),중요_시점_표식,"")),"")</f>
        <v/>
      </c>
      <c r="W33" s="26" t="str">
        <f>IFERROR(IF(LEN(_xlfn.SINGLE(중요_시점34[[#This Row],[요일]]))=0,"",IF(AND(W$7=$E33,$F33=1),중요_시점_표식,"")),"")</f>
        <v/>
      </c>
      <c r="X33" s="26" t="str">
        <f>IFERROR(IF(LEN(_xlfn.SINGLE(중요_시점34[[#This Row],[요일]]))=0,"",IF(AND(X$7=$E33,$F33=1),중요_시점_표식,"")),"")</f>
        <v/>
      </c>
      <c r="Y33" s="26" t="str">
        <f>IFERROR(IF(LEN(_xlfn.SINGLE(중요_시점34[[#This Row],[요일]]))=0,"",IF(AND(Y$7=$E33,$F33=1),중요_시점_표식,"")),"")</f>
        <v/>
      </c>
      <c r="Z33" s="26" t="str">
        <f>IFERROR(IF(LEN(_xlfn.SINGLE(중요_시점34[[#This Row],[요일]]))=0,"",IF(AND(Z$7=$E33,$F33=1),중요_시점_표식,"")),"")</f>
        <v/>
      </c>
      <c r="AA33" s="26" t="str">
        <f>IFERROR(IF(LEN(_xlfn.SINGLE(중요_시점34[[#This Row],[요일]]))=0,"",IF(AND(AA$7=$E33,$F33=1),중요_시점_표식,"")),"")</f>
        <v/>
      </c>
      <c r="AB33" s="26" t="str">
        <f>IFERROR(IF(LEN(_xlfn.SINGLE(중요_시점34[[#This Row],[요일]]))=0,"",IF(AND(AB$7=$E33,$F33=1),중요_시점_표식,"")),"")</f>
        <v/>
      </c>
      <c r="AC33" s="26" t="str">
        <f>IFERROR(IF(LEN(_xlfn.SINGLE(중요_시점34[[#This Row],[요일]]))=0,"",IF(AND(AC$7=$E33,$F33=1),중요_시점_표식,"")),"")</f>
        <v/>
      </c>
      <c r="AD33" s="26" t="str">
        <f>IFERROR(IF(LEN(_xlfn.SINGLE(중요_시점34[[#This Row],[요일]]))=0,"",IF(AND(AD$7=$E33,$F33=1),중요_시점_표식,"")),"")</f>
        <v/>
      </c>
      <c r="AE33" s="26" t="str">
        <f>IFERROR(IF(LEN(_xlfn.SINGLE(중요_시점34[[#This Row],[요일]]))=0,"",IF(AND(AE$7=$E33,$F33=1),중요_시점_표식,"")),"")</f>
        <v/>
      </c>
      <c r="AF33" s="26" t="str">
        <f>IFERROR(IF(LEN(_xlfn.SINGLE(중요_시점34[[#This Row],[요일]]))=0,"",IF(AND(AF$7=$E33,$F33=1),중요_시점_표식,"")),"")</f>
        <v/>
      </c>
      <c r="AG33" s="26" t="str">
        <f>IFERROR(IF(LEN(_xlfn.SINGLE(중요_시점34[[#This Row],[요일]]))=0,"",IF(AND(AG$7=$E33,$F33=1),중요_시점_표식,"")),"")</f>
        <v/>
      </c>
      <c r="AH33" s="26" t="str">
        <f>IFERROR(IF(LEN(_xlfn.SINGLE(중요_시점34[[#This Row],[요일]]))=0,"",IF(AND(AH$7=$E33,$F33=1),중요_시점_표식,"")),"")</f>
        <v/>
      </c>
      <c r="AI33" s="26" t="str">
        <f>IFERROR(IF(LEN(_xlfn.SINGLE(중요_시점34[[#This Row],[요일]]))=0,"",IF(AND(AI$7=$E33,$F33=1),중요_시점_표식,"")),"")</f>
        <v/>
      </c>
      <c r="AJ33" s="26" t="str">
        <f>IFERROR(IF(LEN(_xlfn.SINGLE(중요_시점34[[#This Row],[요일]]))=0,"",IF(AND(AJ$7=$E33,$F33=1),중요_시점_표식,"")),"")</f>
        <v/>
      </c>
      <c r="AK33" s="26" t="str">
        <f>IFERROR(IF(LEN(_xlfn.SINGLE(중요_시점34[[#This Row],[요일]]))=0,"",IF(AND(AK$7=$E33,$F33=1),중요_시점_표식,"")),"")</f>
        <v/>
      </c>
      <c r="AL33" s="26" t="str">
        <f>IFERROR(IF(LEN(_xlfn.SINGLE(중요_시점34[[#This Row],[요일]]))=0,"",IF(AND(AL$7=$E33,$F33=1),중요_시점_표식,"")),"")</f>
        <v/>
      </c>
      <c r="AM33" s="26" t="str">
        <f>IFERROR(IF(LEN(_xlfn.SINGLE(중요_시점34[[#This Row],[요일]]))=0,"",IF(AND(AM$7=$E33,$F33=1),중요_시점_표식,"")),"")</f>
        <v/>
      </c>
      <c r="AN33" s="26" t="str">
        <f>IFERROR(IF(LEN(_xlfn.SINGLE(중요_시점34[[#This Row],[요일]]))=0,"",IF(AND(AN$7=$E33,$F33=1),중요_시점_표식,"")),"")</f>
        <v/>
      </c>
      <c r="AO33" s="26" t="str">
        <f>IFERROR(IF(LEN(_xlfn.SINGLE(중요_시점34[[#This Row],[요일]]))=0,"",IF(AND(AO$7=$E33,$F33=1),중요_시점_표식,"")),"")</f>
        <v/>
      </c>
      <c r="AP33" s="26" t="str">
        <f>IFERROR(IF(LEN(_xlfn.SINGLE(중요_시점34[[#This Row],[요일]]))=0,"",IF(AND(AP$7=$E33,$F33=1),중요_시점_표식,"")),"")</f>
        <v/>
      </c>
      <c r="AQ33" s="26" t="str">
        <f>IFERROR(IF(LEN(_xlfn.SINGLE(중요_시점34[[#This Row],[요일]]))=0,"",IF(AND(AQ$7=$E33,$F33=1),중요_시점_표식,"")),"")</f>
        <v/>
      </c>
      <c r="AR33" s="26" t="str">
        <f>IFERROR(IF(LEN(_xlfn.SINGLE(중요_시점34[[#This Row],[요일]]))=0,"",IF(AND(AR$7=$E33,$F33=1),중요_시점_표식,"")),"")</f>
        <v/>
      </c>
      <c r="AS33" s="26" t="str">
        <f>IFERROR(IF(LEN(_xlfn.SINGLE(중요_시점34[[#This Row],[요일]]))=0,"",IF(AND(AS$7=$E33,$F33=1),중요_시점_표식,"")),"")</f>
        <v/>
      </c>
      <c r="AT33" s="26" t="str">
        <f>IFERROR(IF(LEN(_xlfn.SINGLE(중요_시점34[[#This Row],[요일]]))=0,"",IF(AND(AT$7=$E33,$F33=1),중요_시점_표식,"")),"")</f>
        <v/>
      </c>
      <c r="AU33" s="26" t="str">
        <f>IFERROR(IF(LEN(_xlfn.SINGLE(중요_시점34[[#This Row],[요일]]))=0,"",IF(AND(AU$7=$E33,$F33=1),중요_시점_표식,"")),"")</f>
        <v/>
      </c>
      <c r="AV33" s="26" t="str">
        <f>IFERROR(IF(LEN(_xlfn.SINGLE(중요_시점34[[#This Row],[요일]]))=0,"",IF(AND(AV$7=$E33,$F33=1),중요_시점_표식,"")),"")</f>
        <v/>
      </c>
      <c r="AW33" s="26" t="str">
        <f>IFERROR(IF(LEN(_xlfn.SINGLE(중요_시점34[[#This Row],[요일]]))=0,"",IF(AND(AW$7=$E33,$F33=1),중요_시점_표식,"")),"")</f>
        <v/>
      </c>
      <c r="AX33" s="26" t="str">
        <f>IFERROR(IF(LEN(_xlfn.SINGLE(중요_시점34[[#This Row],[요일]]))=0,"",IF(AND(AX$7=$E33,$F33=1),중요_시점_표식,"")),"")</f>
        <v/>
      </c>
      <c r="AY33" s="26" t="str">
        <f>IFERROR(IF(LEN(_xlfn.SINGLE(중요_시점34[[#This Row],[요일]]))=0,"",IF(AND(AY$7=$E33,$F33=1),중요_시점_표식,"")),"")</f>
        <v/>
      </c>
      <c r="AZ33" s="26" t="str">
        <f>IFERROR(IF(LEN(_xlfn.SINGLE(중요_시점34[[#This Row],[요일]]))=0,"",IF(AND(AZ$7=$E33,$F33=1),중요_시점_표식,"")),"")</f>
        <v/>
      </c>
      <c r="BA33" s="26" t="str">
        <f>IFERROR(IF(LEN(_xlfn.SINGLE(중요_시점34[[#This Row],[요일]]))=0,"",IF(AND(BA$7=$E33,$F33=1),중요_시점_표식,"")),"")</f>
        <v/>
      </c>
      <c r="BB33" s="26" t="str">
        <f>IFERROR(IF(LEN(_xlfn.SINGLE(중요_시점34[[#This Row],[요일]]))=0,"",IF(AND(BB$7=$E33,$F33=1),중요_시점_표식,"")),"")</f>
        <v/>
      </c>
      <c r="BC33" s="26" t="str">
        <f>IFERROR(IF(LEN(_xlfn.SINGLE(중요_시점34[[#This Row],[요일]]))=0,"",IF(AND(BC$7=$E33,$F33=1),중요_시점_표식,"")),"")</f>
        <v/>
      </c>
      <c r="BD33" s="26" t="str">
        <f>IFERROR(IF(LEN(_xlfn.SINGLE(중요_시점34[[#This Row],[요일]]))=0,"",IF(AND(BD$7=$E33,$F33=1),중요_시점_표식,"")),"")</f>
        <v/>
      </c>
      <c r="BE33" s="26" t="str">
        <f>IFERROR(IF(LEN(_xlfn.SINGLE(중요_시점34[[#This Row],[요일]]))=0,"",IF(AND(BE$7=$E33,$F33=1),중요_시점_표식,"")),"")</f>
        <v/>
      </c>
      <c r="BF33" s="26" t="str">
        <f>IFERROR(IF(LEN(_xlfn.SINGLE(중요_시점34[[#This Row],[요일]]))=0,"",IF(AND(BF$7=$E33,$F33=1),중요_시점_표식,"")),"")</f>
        <v/>
      </c>
      <c r="BG33" s="26" t="str">
        <f>IFERROR(IF(LEN(_xlfn.SINGLE(중요_시점34[[#This Row],[요일]]))=0,"",IF(AND(BG$7=$E33,$F33=1),중요_시점_표식,"")),"")</f>
        <v/>
      </c>
      <c r="BH33" s="26" t="str">
        <f>IFERROR(IF(LEN(_xlfn.SINGLE(중요_시점34[[#This Row],[요일]]))=0,"",IF(AND(BH$7=$E33,$F33=1),중요_시점_표식,"")),"")</f>
        <v/>
      </c>
      <c r="BI33" s="26" t="str">
        <f>IFERROR(IF(LEN(_xlfn.SINGLE(중요_시점34[[#This Row],[요일]]))=0,"",IF(AND(BI$7=$E33,$F33=1),중요_시점_표식,"")),"")</f>
        <v/>
      </c>
      <c r="BJ33" s="26" t="str">
        <f>IFERROR(IF(LEN(_xlfn.SINGLE(중요_시점34[[#This Row],[요일]]))=0,"",IF(AND(BJ$7=$E33,$F33=1),중요_시점_표식,"")),"")</f>
        <v/>
      </c>
      <c r="BK33" s="26" t="str">
        <f>IFERROR(IF(LEN(_xlfn.SINGLE(중요_시점34[[#This Row],[요일]]))=0,"",IF(AND(BK$7=$E33,$F33=1),중요_시점_표식,"")),"")</f>
        <v/>
      </c>
    </row>
    <row r="34" spans="1:63" s="1" customFormat="1" ht="30" customHeight="1">
      <c r="A34" s="5"/>
      <c r="B34" s="41"/>
      <c r="C34" s="13"/>
      <c r="D34" s="82"/>
      <c r="E34" s="42"/>
      <c r="F34" s="12"/>
      <c r="G34" s="27"/>
      <c r="H34" s="26" t="str">
        <f>IFERROR(IF(LEN(_xlfn.SINGLE(중요_시점34[[#This Row],[요일]]))=0,"",IF(AND(H$7=$E34,$F34=1),중요_시점_표식,"")),"")</f>
        <v/>
      </c>
      <c r="I34" s="26" t="str">
        <f>IFERROR(IF(LEN(_xlfn.SINGLE(중요_시점34[[#This Row],[요일]]))=0,"",IF(AND(I$7=$E34,$F34=1),중요_시점_표식,"")),"")</f>
        <v/>
      </c>
      <c r="J34" s="26" t="str">
        <f>IFERROR(IF(LEN(_xlfn.SINGLE(중요_시점34[[#This Row],[요일]]))=0,"",IF(AND(J$7=$E34,$F34=1),중요_시점_표식,"")),"")</f>
        <v/>
      </c>
      <c r="K34" s="26" t="str">
        <f>IFERROR(IF(LEN(_xlfn.SINGLE(중요_시점34[[#This Row],[요일]]))=0,"",IF(AND(K$7=$E34,$F34=1),중요_시점_표식,"")),"")</f>
        <v/>
      </c>
      <c r="L34" s="26" t="str">
        <f>IFERROR(IF(LEN(_xlfn.SINGLE(중요_시점34[[#This Row],[요일]]))=0,"",IF(AND(L$7=$E34,$F34=1),중요_시점_표식,"")),"")</f>
        <v/>
      </c>
      <c r="M34" s="26" t="str">
        <f>IFERROR(IF(LEN(_xlfn.SINGLE(중요_시점34[[#This Row],[요일]]))=0,"",IF(AND(M$7=$E34,$F34=1),중요_시점_표식,"")),"")</f>
        <v/>
      </c>
      <c r="N34" s="26" t="str">
        <f>IFERROR(IF(LEN(_xlfn.SINGLE(중요_시점34[[#This Row],[요일]]))=0,"",IF(AND(N$7=$E34,$F34=1),중요_시점_표식,"")),"")</f>
        <v/>
      </c>
      <c r="O34" s="26" t="str">
        <f>IFERROR(IF(LEN(_xlfn.SINGLE(중요_시점34[[#This Row],[요일]]))=0,"",IF(AND(O$7=$E34,$F34=1),중요_시점_표식,"")),"")</f>
        <v/>
      </c>
      <c r="P34" s="26" t="str">
        <f>IFERROR(IF(LEN(_xlfn.SINGLE(중요_시점34[[#This Row],[요일]]))=0,"",IF(AND(P$7=$E34,$F34=1),중요_시점_표식,"")),"")</f>
        <v/>
      </c>
      <c r="Q34" s="26" t="str">
        <f>IFERROR(IF(LEN(_xlfn.SINGLE(중요_시점34[[#This Row],[요일]]))=0,"",IF(AND(Q$7=$E34,$F34=1),중요_시점_표식,"")),"")</f>
        <v/>
      </c>
      <c r="R34" s="26" t="str">
        <f>IFERROR(IF(LEN(_xlfn.SINGLE(중요_시점34[[#This Row],[요일]]))=0,"",IF(AND(R$7=$E34,$F34=1),중요_시점_표식,"")),"")</f>
        <v/>
      </c>
      <c r="S34" s="26" t="str">
        <f>IFERROR(IF(LEN(_xlfn.SINGLE(중요_시점34[[#This Row],[요일]]))=0,"",IF(AND(S$7=$E34,$F34=1),중요_시점_표식,"")),"")</f>
        <v/>
      </c>
      <c r="T34" s="26" t="str">
        <f>IFERROR(IF(LEN(_xlfn.SINGLE(중요_시점34[[#This Row],[요일]]))=0,"",IF(AND(T$7=$E34,$F34=1),중요_시점_표식,"")),"")</f>
        <v/>
      </c>
      <c r="U34" s="26" t="str">
        <f>IFERROR(IF(LEN(_xlfn.SINGLE(중요_시점34[[#This Row],[요일]]))=0,"",IF(AND(U$7=$E34,$F34=1),중요_시점_표식,"")),"")</f>
        <v/>
      </c>
      <c r="V34" s="26" t="str">
        <f>IFERROR(IF(LEN(_xlfn.SINGLE(중요_시점34[[#This Row],[요일]]))=0,"",IF(AND(V$7=$E34,$F34=1),중요_시점_표식,"")),"")</f>
        <v/>
      </c>
      <c r="W34" s="26" t="str">
        <f>IFERROR(IF(LEN(_xlfn.SINGLE(중요_시점34[[#This Row],[요일]]))=0,"",IF(AND(W$7=$E34,$F34=1),중요_시점_표식,"")),"")</f>
        <v/>
      </c>
      <c r="X34" s="26" t="str">
        <f>IFERROR(IF(LEN(_xlfn.SINGLE(중요_시점34[[#This Row],[요일]]))=0,"",IF(AND(X$7=$E34,$F34=1),중요_시점_표식,"")),"")</f>
        <v/>
      </c>
      <c r="Y34" s="26" t="str">
        <f>IFERROR(IF(LEN(_xlfn.SINGLE(중요_시점34[[#This Row],[요일]]))=0,"",IF(AND(Y$7=$E34,$F34=1),중요_시점_표식,"")),"")</f>
        <v/>
      </c>
      <c r="Z34" s="26" t="str">
        <f>IFERROR(IF(LEN(_xlfn.SINGLE(중요_시점34[[#This Row],[요일]]))=0,"",IF(AND(Z$7=$E34,$F34=1),중요_시점_표식,"")),"")</f>
        <v/>
      </c>
      <c r="AA34" s="26" t="str">
        <f>IFERROR(IF(LEN(_xlfn.SINGLE(중요_시점34[[#This Row],[요일]]))=0,"",IF(AND(AA$7=$E34,$F34=1),중요_시점_표식,"")),"")</f>
        <v/>
      </c>
      <c r="AB34" s="26" t="str">
        <f>IFERROR(IF(LEN(_xlfn.SINGLE(중요_시점34[[#This Row],[요일]]))=0,"",IF(AND(AB$7=$E34,$F34=1),중요_시점_표식,"")),"")</f>
        <v/>
      </c>
      <c r="AC34" s="26" t="str">
        <f>IFERROR(IF(LEN(_xlfn.SINGLE(중요_시점34[[#This Row],[요일]]))=0,"",IF(AND(AC$7=$E34,$F34=1),중요_시점_표식,"")),"")</f>
        <v/>
      </c>
      <c r="AD34" s="26" t="str">
        <f>IFERROR(IF(LEN(_xlfn.SINGLE(중요_시점34[[#This Row],[요일]]))=0,"",IF(AND(AD$7=$E34,$F34=1),중요_시점_표식,"")),"")</f>
        <v/>
      </c>
      <c r="AE34" s="26" t="str">
        <f>IFERROR(IF(LEN(_xlfn.SINGLE(중요_시점34[[#This Row],[요일]]))=0,"",IF(AND(AE$7=$E34,$F34=1),중요_시점_표식,"")),"")</f>
        <v/>
      </c>
      <c r="AF34" s="26" t="str">
        <f>IFERROR(IF(LEN(_xlfn.SINGLE(중요_시점34[[#This Row],[요일]]))=0,"",IF(AND(AF$7=$E34,$F34=1),중요_시점_표식,"")),"")</f>
        <v/>
      </c>
      <c r="AG34" s="26" t="str">
        <f>IFERROR(IF(LEN(_xlfn.SINGLE(중요_시점34[[#This Row],[요일]]))=0,"",IF(AND(AG$7=$E34,$F34=1),중요_시점_표식,"")),"")</f>
        <v/>
      </c>
      <c r="AH34" s="26" t="str">
        <f>IFERROR(IF(LEN(_xlfn.SINGLE(중요_시점34[[#This Row],[요일]]))=0,"",IF(AND(AH$7=$E34,$F34=1),중요_시점_표식,"")),"")</f>
        <v/>
      </c>
      <c r="AI34" s="26" t="str">
        <f>IFERROR(IF(LEN(_xlfn.SINGLE(중요_시점34[[#This Row],[요일]]))=0,"",IF(AND(AI$7=$E34,$F34=1),중요_시점_표식,"")),"")</f>
        <v/>
      </c>
      <c r="AJ34" s="26" t="str">
        <f>IFERROR(IF(LEN(_xlfn.SINGLE(중요_시점34[[#This Row],[요일]]))=0,"",IF(AND(AJ$7=$E34,$F34=1),중요_시점_표식,"")),"")</f>
        <v/>
      </c>
      <c r="AK34" s="26" t="str">
        <f>IFERROR(IF(LEN(_xlfn.SINGLE(중요_시점34[[#This Row],[요일]]))=0,"",IF(AND(AK$7=$E34,$F34=1),중요_시점_표식,"")),"")</f>
        <v/>
      </c>
      <c r="AL34" s="26" t="str">
        <f>IFERROR(IF(LEN(_xlfn.SINGLE(중요_시점34[[#This Row],[요일]]))=0,"",IF(AND(AL$7=$E34,$F34=1),중요_시점_표식,"")),"")</f>
        <v/>
      </c>
      <c r="AM34" s="26" t="str">
        <f>IFERROR(IF(LEN(_xlfn.SINGLE(중요_시점34[[#This Row],[요일]]))=0,"",IF(AND(AM$7=$E34,$F34=1),중요_시점_표식,"")),"")</f>
        <v/>
      </c>
      <c r="AN34" s="26" t="str">
        <f>IFERROR(IF(LEN(_xlfn.SINGLE(중요_시점34[[#This Row],[요일]]))=0,"",IF(AND(AN$7=$E34,$F34=1),중요_시점_표식,"")),"")</f>
        <v/>
      </c>
      <c r="AO34" s="26" t="str">
        <f>IFERROR(IF(LEN(_xlfn.SINGLE(중요_시점34[[#This Row],[요일]]))=0,"",IF(AND(AO$7=$E34,$F34=1),중요_시점_표식,"")),"")</f>
        <v/>
      </c>
      <c r="AP34" s="26" t="str">
        <f>IFERROR(IF(LEN(_xlfn.SINGLE(중요_시점34[[#This Row],[요일]]))=0,"",IF(AND(AP$7=$E34,$F34=1),중요_시점_표식,"")),"")</f>
        <v/>
      </c>
      <c r="AQ34" s="26" t="str">
        <f>IFERROR(IF(LEN(_xlfn.SINGLE(중요_시점34[[#This Row],[요일]]))=0,"",IF(AND(AQ$7=$E34,$F34=1),중요_시점_표식,"")),"")</f>
        <v/>
      </c>
      <c r="AR34" s="26" t="str">
        <f>IFERROR(IF(LEN(_xlfn.SINGLE(중요_시점34[[#This Row],[요일]]))=0,"",IF(AND(AR$7=$E34,$F34=1),중요_시점_표식,"")),"")</f>
        <v/>
      </c>
      <c r="AS34" s="26" t="str">
        <f>IFERROR(IF(LEN(_xlfn.SINGLE(중요_시점34[[#This Row],[요일]]))=0,"",IF(AND(AS$7=$E34,$F34=1),중요_시점_표식,"")),"")</f>
        <v/>
      </c>
      <c r="AT34" s="26" t="str">
        <f>IFERROR(IF(LEN(_xlfn.SINGLE(중요_시점34[[#This Row],[요일]]))=0,"",IF(AND(AT$7=$E34,$F34=1),중요_시점_표식,"")),"")</f>
        <v/>
      </c>
      <c r="AU34" s="26" t="str">
        <f>IFERROR(IF(LEN(_xlfn.SINGLE(중요_시점34[[#This Row],[요일]]))=0,"",IF(AND(AU$7=$E34,$F34=1),중요_시점_표식,"")),"")</f>
        <v/>
      </c>
      <c r="AV34" s="26" t="str">
        <f>IFERROR(IF(LEN(_xlfn.SINGLE(중요_시점34[[#This Row],[요일]]))=0,"",IF(AND(AV$7=$E34,$F34=1),중요_시점_표식,"")),"")</f>
        <v/>
      </c>
      <c r="AW34" s="26" t="str">
        <f>IFERROR(IF(LEN(_xlfn.SINGLE(중요_시점34[[#This Row],[요일]]))=0,"",IF(AND(AW$7=$E34,$F34=1),중요_시점_표식,"")),"")</f>
        <v/>
      </c>
      <c r="AX34" s="26" t="str">
        <f>IFERROR(IF(LEN(_xlfn.SINGLE(중요_시점34[[#This Row],[요일]]))=0,"",IF(AND(AX$7=$E34,$F34=1),중요_시점_표식,"")),"")</f>
        <v/>
      </c>
      <c r="AY34" s="26" t="str">
        <f>IFERROR(IF(LEN(_xlfn.SINGLE(중요_시점34[[#This Row],[요일]]))=0,"",IF(AND(AY$7=$E34,$F34=1),중요_시점_표식,"")),"")</f>
        <v/>
      </c>
      <c r="AZ34" s="26" t="str">
        <f>IFERROR(IF(LEN(_xlfn.SINGLE(중요_시점34[[#This Row],[요일]]))=0,"",IF(AND(AZ$7=$E34,$F34=1),중요_시점_표식,"")),"")</f>
        <v/>
      </c>
      <c r="BA34" s="26" t="str">
        <f>IFERROR(IF(LEN(_xlfn.SINGLE(중요_시점34[[#This Row],[요일]]))=0,"",IF(AND(BA$7=$E34,$F34=1),중요_시점_표식,"")),"")</f>
        <v/>
      </c>
      <c r="BB34" s="26" t="str">
        <f>IFERROR(IF(LEN(_xlfn.SINGLE(중요_시점34[[#This Row],[요일]]))=0,"",IF(AND(BB$7=$E34,$F34=1),중요_시점_표식,"")),"")</f>
        <v/>
      </c>
      <c r="BC34" s="26" t="str">
        <f>IFERROR(IF(LEN(_xlfn.SINGLE(중요_시점34[[#This Row],[요일]]))=0,"",IF(AND(BC$7=$E34,$F34=1),중요_시점_표식,"")),"")</f>
        <v/>
      </c>
      <c r="BD34" s="26" t="str">
        <f>IFERROR(IF(LEN(_xlfn.SINGLE(중요_시점34[[#This Row],[요일]]))=0,"",IF(AND(BD$7=$E34,$F34=1),중요_시점_표식,"")),"")</f>
        <v/>
      </c>
      <c r="BE34" s="26" t="str">
        <f>IFERROR(IF(LEN(_xlfn.SINGLE(중요_시점34[[#This Row],[요일]]))=0,"",IF(AND(BE$7=$E34,$F34=1),중요_시점_표식,"")),"")</f>
        <v/>
      </c>
      <c r="BF34" s="26" t="str">
        <f>IFERROR(IF(LEN(_xlfn.SINGLE(중요_시점34[[#This Row],[요일]]))=0,"",IF(AND(BF$7=$E34,$F34=1),중요_시점_표식,"")),"")</f>
        <v/>
      </c>
      <c r="BG34" s="26" t="str">
        <f>IFERROR(IF(LEN(_xlfn.SINGLE(중요_시점34[[#This Row],[요일]]))=0,"",IF(AND(BG$7=$E34,$F34=1),중요_시점_표식,"")),"")</f>
        <v/>
      </c>
      <c r="BH34" s="26" t="str">
        <f>IFERROR(IF(LEN(_xlfn.SINGLE(중요_시점34[[#This Row],[요일]]))=0,"",IF(AND(BH$7=$E34,$F34=1),중요_시점_표식,"")),"")</f>
        <v/>
      </c>
      <c r="BI34" s="26" t="str">
        <f>IFERROR(IF(LEN(_xlfn.SINGLE(중요_시점34[[#This Row],[요일]]))=0,"",IF(AND(BI$7=$E34,$F34=1),중요_시점_표식,"")),"")</f>
        <v/>
      </c>
      <c r="BJ34" s="26" t="str">
        <f>IFERROR(IF(LEN(_xlfn.SINGLE(중요_시점34[[#This Row],[요일]]))=0,"",IF(AND(BJ$7=$E34,$F34=1),중요_시점_표식,"")),"")</f>
        <v/>
      </c>
      <c r="BK34" s="26" t="str">
        <f>IFERROR(IF(LEN(_xlfn.SINGLE(중요_시점34[[#This Row],[요일]]))=0,"",IF(AND(BK$7=$E34,$F34=1),중요_시점_표식,"")),"")</f>
        <v/>
      </c>
    </row>
    <row r="35" spans="1:63" s="1" customFormat="1" ht="30" customHeight="1" thickBot="1">
      <c r="A35" s="6"/>
      <c r="B35" s="8" t="s">
        <v>18</v>
      </c>
      <c r="C35" s="8"/>
      <c r="D35" s="8"/>
      <c r="E35" s="17"/>
      <c r="F35" s="8"/>
      <c r="G35" s="15"/>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row>
    <row r="36" spans="1:63" customFormat="1" ht="30" customHeight="1">
      <c r="A36" s="5"/>
      <c r="C36" s="4"/>
      <c r="E36" s="2"/>
      <c r="F36" s="7"/>
      <c r="G36" s="3"/>
    </row>
    <row r="37" spans="1:63" ht="30" customHeight="1">
      <c r="C37" s="99"/>
    </row>
  </sheetData>
  <mergeCells count="1">
    <mergeCell ref="O5:T5"/>
  </mergeCells>
  <phoneticPr fontId="25" type="noConversion"/>
  <conditionalFormatting sqref="D8:D34">
    <cfRule type="dataBar" priority="4">
      <dataBar>
        <cfvo type="num" val="0"/>
        <cfvo type="num" val="1"/>
        <color theme="6" tint="0.79998168889431442"/>
      </dataBar>
      <extLst>
        <ext xmlns:x14="http://schemas.microsoft.com/office/spreadsheetml/2009/9/main" uri="{B025F937-C7B1-47D3-B67F-A62EFF666E3E}">
          <x14:id>{F55A1E10-54CD-4BC6-BA1E-088B123E0458}</x14:id>
        </ext>
      </extLst>
    </cfRule>
  </conditionalFormatting>
  <conditionalFormatting sqref="H10:BK34">
    <cfRule type="expression" dxfId="13" priority="6">
      <formula>H$7&lt;=오늘​​</formula>
    </cfRule>
  </conditionalFormatting>
  <conditionalFormatting sqref="H9:BK34">
    <cfRule type="expression" dxfId="12" priority="5" stopIfTrue="1">
      <formula>AND(H$7&gt;=$E9+1,H$7&lt;=$E9+$F9-2)</formula>
    </cfRule>
  </conditionalFormatting>
  <conditionalFormatting sqref="H7:BK8">
    <cfRule type="expression" dxfId="11" priority="1">
      <formula>H$7&lt;=TODAY()</formula>
    </cfRule>
  </conditionalFormatting>
  <dataValidations count="9">
    <dataValidation type="whole" operator="greaterThanOrEqual" allowBlank="1" showInputMessage="1" promptTitle="스크롤 증가값" prompt="이 숫자를 변경하면 Gantt 차트 보기가 스크롤됩니다." sqref="U5" xr:uid="{C37A3A84-4C26-4730-9254-E9FB5346C501}">
      <formula1>0</formula1>
    </dataValidation>
    <dataValidation allowBlank="1" showInputMessage="1" showErrorMessage="1" promptTitle="Gantt 차트 만들기 " prompt="B2 셀에 이 프로젝트의 제목을 입력하세요. _x000a___x000a_화면 판독기 및 이 통합 문서 작성자에 대한 지침을 포함하여 이 워크시트를 사용하는 방법에 대한 정보는 정보 워크시트에 있습니다._x000a_A 열을 계속 탐색하여 추가 지침을 들어보세요." sqref="A2" xr:uid="{639D1A76-2D41-4360-B6AE-7D7D40210EE1}"/>
    <dataValidation allowBlank="1" showInputMessage="1" showErrorMessage="1" prompt="B3 셀에 회사 이름을 입력합니다._x000a__x000a_B4 셀에 프로젝트 관리자의 이름을 입력합니다._x000a__x000a_C5 셀에 프로젝트 시작 날짜를 입력하거나 샘플 수식이 Gantt 데이터 테이블에서 가장 작은 날짜 값을 찾도록 허용합니다. 프로젝트 시작 날짜: 레이블은 B5 셀에 있습니다." sqref="A3" xr:uid="{F2D5707E-DE9B-4D3A-90DE-5B9EAD7B9DC1}"/>
    <dataValidation allowBlank="1" showInputMessage="1" showErrorMessage="1" prompt="스크롤 증가값은 U5 셀에 있습니다. 스크롤 막대는 H5 셀에서 M5 셀까지 있습니다. 스크롤 증가값을 늘리거나 스크롤 막대를 사용하면 Gantt 차트 시간 표시 막대가 증가합니다. _x000a_U5 셀에 0을 입력하면 차트가 프로젝트 시작 부분으로 재설정됩니다._x000a_" sqref="A5" xr:uid="{A675B12D-B73B-4159-97E5-0EC2DD142602}"/>
    <dataValidation allowBlank="1" showInputMessage="1" showErrorMessage="1" prompt="기본 중요 시점 표식 유형을 수정하려면 C6 셀에 0, 1 또는 2를 입력합니다. 해당 표식이 D6 셀에 나타납니다. 표식을 변경하려면 해당 셀과 아래 표에 대한 조건부 형식을 수정하세요._x000a_" sqref="A6" xr:uid="{AAD009A7-FE49-496B-B782-615C91C10B4C}"/>
    <dataValidation allowBlank="1" showInputMessage="1" showErrorMessage="1" prompt="6행의 날짜에 대한 월이 H6 셀부터 BK6 셀까지 표시됩니다. 월의 일수는 7행에 있으며 H7 셀부터 시작됩니다. 이 셀들을 수정하지 마세요. 이 셀들은 프로젝트 시작 날짜와 스크롤 막대 증가값을 기준으로 자동 업데이트됩니다." sqref="A7" xr:uid="{0060E070-32DC-488F-A8DB-C79290723BA0}"/>
    <dataValidation allowBlank="1" showInputMessage="1" showErrorMessage="1" prompt="B8에는 프로젝트 일정에 대한 머리글이 포함되어 있습니다. H8에서 BK8까지는 위의 날짜에 대한 각 요일의 첫 번째 문자가 있습니다. 모든 시간 표시 막대 차트 작성은 입력한 시작 날짜와 일수를 기준으로 자동으로 생성됩니다." sqref="A8" xr:uid="{6940A8A8-4DCE-454B-AD25-2A74833F6BB0}"/>
    <dataValidation allowBlank="1" showInputMessage="1" showErrorMessage="1" promptTitle="프로젝트 정보 입력 " prompt="B10 셀부터 F10 셀까지 시작하여, 중요 시점 설명을 입력하고, 항목에 할당하고, 작업 진행률을 완료율로 입력하고, 작업의 시작 날짜와 기간을 일수로 입력합니다. Gantt 차트가 자동으로 업데이트됩니다. " sqref="A10" xr:uid="{99522C2E-4FCB-4613-9F6E-4199F6F59758}"/>
    <dataValidation allowBlank="1" showInputMessage="1" showErrorMessage="1" prompt="이 행에는 Gantt 중요 시점 데이터의 끝이 표시됩니다. 이 행에는 아무것도 입력하지 마세요. _x000a__x000a_항목을 추가하려면 이 위에 새 행을 삽입합니다." sqref="A35" xr:uid="{6E30C851-4384-4BC7-A403-BF5CFB36A6BE}"/>
  </dataValidations>
  <printOptions horizontalCentered="1"/>
  <pageMargins left="0.25" right="0.25" top="0.5" bottom="0.5" header="0.3" footer="0.3"/>
  <pageSetup paperSize="9" scale="44"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스크롤 막대 1">
              <controlPr defaultSize="0" autoPict="0" altText="Gantt 시간 표시줄을 스크롤하기 위한 스크롤 막대입니다.">
                <anchor moveWithCells="1">
                  <from>
                    <xdr:col>7</xdr:col>
                    <xdr:colOff>38100</xdr:colOff>
                    <xdr:row>4</xdr:row>
                    <xdr:rowOff>28575</xdr:rowOff>
                  </from>
                  <to>
                    <xdr:col>12</xdr:col>
                    <xdr:colOff>257175</xdr:colOff>
                    <xdr:row>4</xdr:row>
                    <xdr:rowOff>352425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F55A1E10-54CD-4BC6-BA1E-088B123E0458}">
            <x14:dataBar minLength="0" maxLength="100" gradient="0">
              <x14:cfvo type="num">
                <xm:f>0</xm:f>
              </x14:cfvo>
              <x14:cfvo type="num">
                <xm:f>1</xm:f>
              </x14:cfvo>
              <x14:negativeFillColor rgb="FFFF0000"/>
              <x14:axisColor rgb="FF000000"/>
            </x14:dataBar>
          </x14:cfRule>
          <xm:sqref>D8:D34</xm:sqref>
        </x14:conditionalFormatting>
        <x14:conditionalFormatting xmlns:xm="http://schemas.microsoft.com/office/excel/2006/main">
          <x14:cfRule type="iconSet" priority="3" id="{541F8E9A-B35A-48E2-8231-2B95FF5B4F9D}">
            <x14:iconSet iconSet="3Stars" showValue="0" custom="1">
              <x14:cfvo type="percent">
                <xm:f>0</xm:f>
              </x14:cfvo>
              <x14:cfvo type="num">
                <xm:f>1</xm:f>
              </x14:cfvo>
              <x14:cfvo type="num">
                <xm:f>2</xm:f>
              </x14:cfvo>
              <x14:cfIcon iconSet="3Signs" iconId="1"/>
              <x14:cfIcon iconSet="3Flags" iconId="0"/>
              <x14:cfIcon iconSet="3Signs" iconId="0"/>
            </x14:iconSet>
          </x14:cfRule>
          <xm:sqref>H9:BK34</xm:sqref>
        </x14:conditionalFormatting>
        <x14:conditionalFormatting xmlns:xm="http://schemas.microsoft.com/office/excel/2006/main">
          <x14:cfRule type="iconSet" priority="2" id="{9FDC8C04-5CFF-4B9F-9AD4-CE8D13672C6B}">
            <x14:iconSet iconSet="3Flags" showValue="0" custom="1">
              <x14:cfvo type="percent">
                <xm:f>0</xm:f>
              </x14:cfvo>
              <x14:cfvo type="num">
                <xm:f>1</xm:f>
              </x14:cfvo>
              <x14:cfvo type="num">
                <xm:f>2</xm:f>
              </x14:cfvo>
              <x14:cfIcon iconSet="3Signs" iconId="1"/>
              <x14:cfIcon iconSet="3Flags" iconId="0"/>
              <x14:cfIcon iconSet="3Signs" iconId="0"/>
            </x14:iconSet>
          </x14:cfRule>
          <xm:sqref>D6</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3C01-EF89-4F23-8860-2A2D2A5DA744}">
  <sheetPr>
    <pageSetUpPr fitToPage="1"/>
  </sheetPr>
  <dimension ref="A1:BK37"/>
  <sheetViews>
    <sheetView showGridLines="0" showRuler="0" zoomScale="90" zoomScaleNormal="90" zoomScalePageLayoutView="70" workbookViewId="0"/>
  </sheetViews>
  <sheetFormatPr defaultColWidth="8.875" defaultRowHeight="30" customHeight="1" outlineLevelRow="1"/>
  <cols>
    <col min="1" max="1" width="4.75" style="5" customWidth="1"/>
    <col min="2" max="2" width="25.75" customWidth="1"/>
    <col min="3" max="3" width="18.75" style="100" customWidth="1"/>
    <col min="4" max="4" width="13.75" style="100" customWidth="1"/>
    <col min="5" max="5" width="13.75" style="101" customWidth="1"/>
    <col min="6" max="6" width="13.75" style="100" customWidth="1"/>
    <col min="7" max="7" width="2.75" style="100" customWidth="1"/>
    <col min="8" max="63" width="3.625" style="100" customWidth="1"/>
    <col min="64" max="16384" width="8.875" style="100"/>
  </cols>
  <sheetData>
    <row r="1" spans="1:63" customFormat="1" ht="25.15" customHeight="1">
      <c r="A1" s="5"/>
      <c r="E1" s="2"/>
    </row>
    <row r="2" spans="1:63" customFormat="1" ht="50.1" customHeight="1">
      <c r="A2" s="60"/>
      <c r="B2" s="69" t="s">
        <v>3</v>
      </c>
      <c r="C2" s="45"/>
      <c r="D2" s="46"/>
      <c r="E2" s="46"/>
      <c r="F2" s="61"/>
      <c r="G2" s="39"/>
      <c r="H2" s="39"/>
      <c r="I2" s="65"/>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row>
    <row r="3" spans="1:63" customFormat="1" ht="30" customHeight="1">
      <c r="A3" s="6"/>
      <c r="B3" s="76" t="s">
        <v>4</v>
      </c>
      <c r="C3" s="72"/>
      <c r="D3" s="73"/>
      <c r="E3" s="73"/>
      <c r="F3" s="74"/>
      <c r="G3" s="1"/>
      <c r="H3" s="1"/>
      <c r="I3" s="75"/>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customFormat="1" ht="30" customHeight="1">
      <c r="A4" s="5"/>
      <c r="B4" s="76" t="s">
        <v>5</v>
      </c>
      <c r="E4" s="47"/>
      <c r="I4" s="18"/>
      <c r="J4" s="18"/>
      <c r="K4" s="18"/>
      <c r="L4" s="18"/>
      <c r="M4" s="18"/>
      <c r="N4" s="18"/>
    </row>
    <row r="5" spans="1:63" customFormat="1" ht="30" customHeight="1">
      <c r="A5" s="6"/>
      <c r="B5" s="62" t="s">
        <v>6</v>
      </c>
      <c r="C5" s="47">
        <f ca="1">IFERROR(IF(MIN(중요 #REF!)=0,TODAY(),MIN(중요 #REF!)),TODAY())</f>
        <v>44588</v>
      </c>
      <c r="E5" s="63"/>
      <c r="H5" s="33"/>
      <c r="I5" s="34"/>
      <c r="J5" s="34"/>
      <c r="K5" s="34"/>
      <c r="L5" s="34"/>
      <c r="M5" s="35"/>
      <c r="O5" s="104" t="s">
        <v>23</v>
      </c>
      <c r="P5" s="104"/>
      <c r="Q5" s="104"/>
      <c r="R5" s="104"/>
      <c r="S5" s="104"/>
      <c r="T5" s="104"/>
      <c r="U5" s="48">
        <v>13</v>
      </c>
      <c r="V5" s="71"/>
    </row>
    <row r="6" spans="1:63" customFormat="1" ht="30" customHeight="1">
      <c r="A6" s="6"/>
      <c r="B6" s="64" t="s">
        <v>7</v>
      </c>
      <c r="C6" s="48">
        <v>1</v>
      </c>
      <c r="D6" s="48">
        <f>중요_시점_표식</f>
        <v>1</v>
      </c>
      <c r="E6" s="2"/>
      <c r="H6" s="77" t="str">
        <f ca="1">TEXT(H7,"m월")</f>
        <v>2월</v>
      </c>
      <c r="I6" s="77"/>
      <c r="J6" s="77"/>
      <c r="K6" s="77"/>
      <c r="L6" s="25"/>
      <c r="M6" s="25"/>
      <c r="N6" s="23"/>
      <c r="O6" s="23" t="str">
        <f ca="1">IF(TEXT(O7,"m월")=H6,"",TEXT(O7,"m월"))</f>
        <v/>
      </c>
      <c r="P6" s="23"/>
      <c r="Q6" s="23"/>
      <c r="R6" s="23"/>
      <c r="S6" s="23"/>
      <c r="T6" s="23"/>
      <c r="U6" s="23"/>
      <c r="V6" s="23" t="str">
        <f ca="1">IF(OR(TEXT(V7,"m월")=O6,TEXT(V7,"m월")=H6),"",TEXT(V7,"m월"))</f>
        <v/>
      </c>
      <c r="W6" s="23"/>
      <c r="X6" s="23"/>
      <c r="Y6" s="23"/>
      <c r="Z6" s="23"/>
      <c r="AA6" s="23"/>
      <c r="AB6" s="23"/>
      <c r="AC6" s="23" t="str">
        <f ca="1">IF(OR(TEXT(AC7,"m월")=V6,TEXT(AC7,"m월")=O6,TEXT(AC7,"m월")=H6),"",TEXT(AC7,"m월"))</f>
        <v>3월</v>
      </c>
      <c r="AD6" s="23"/>
      <c r="AE6" s="23"/>
      <c r="AF6" s="23"/>
      <c r="AG6" s="23"/>
      <c r="AH6" s="23"/>
      <c r="AI6" s="23"/>
      <c r="AJ6" s="78" t="str">
        <f ca="1">IF(OR(TEXT(AJ7,"m월")=AC6,TEXT(AJ7,"m월")=V6,TEXT(AJ7,"m월")=O6,TEXT(AJ7,"m월")=H6),"",TEXT(AJ7,"m월"))</f>
        <v/>
      </c>
      <c r="AK6" s="78"/>
      <c r="AL6" s="78"/>
      <c r="AM6" s="78"/>
      <c r="AN6" s="78"/>
      <c r="AO6" s="23"/>
      <c r="AP6" s="23"/>
      <c r="AQ6" s="23" t="str">
        <f ca="1">IF(OR(TEXT(AQ7,"m월")=AJ6,TEXT(AQ7,"m월")=AC6,TEXT(AQ7,"m월")=V6,TEXT(AQ7,"m월")=O6),"",TEXT(AQ7,"m월"))</f>
        <v/>
      </c>
      <c r="AR6" s="23"/>
      <c r="AS6" s="23"/>
      <c r="AT6" s="23"/>
      <c r="AU6" s="23"/>
      <c r="AV6" s="23"/>
      <c r="AW6" s="23"/>
      <c r="AX6" s="23" t="str">
        <f ca="1">IF(OR(TEXT(AX7,"m월")=AQ6,TEXT(AX7,"m월")=AJ6,TEXT(AX7,"m월")=AC6,TEXT(AX7,"m월")=V6),"",TEXT(AX7,"m월"))</f>
        <v/>
      </c>
      <c r="AY6" s="23"/>
      <c r="AZ6" s="23"/>
      <c r="BA6" s="23"/>
      <c r="BB6" s="23"/>
      <c r="BC6" s="23"/>
      <c r="BD6" s="23"/>
      <c r="BE6" s="23" t="str">
        <f ca="1">IF(OR(TEXT(BE7,"m월")=AX6,TEXT(BE7,"m월")=AQ6,TEXT(BE7,"m월")=AJ6,TEXT(BE7,"m월")=AC6),"",TEXT(BE7,"m월"))</f>
        <v/>
      </c>
      <c r="BF6" s="23"/>
      <c r="BG6" s="23"/>
      <c r="BH6" s="23"/>
      <c r="BI6" s="23"/>
      <c r="BJ6" s="23"/>
      <c r="BK6" s="23"/>
    </row>
    <row r="7" spans="1:63" customFormat="1" ht="18" customHeight="1">
      <c r="A7" s="6"/>
      <c r="B7" s="19"/>
      <c r="E7" s="2"/>
      <c r="H7" s="51">
        <f ca="1">IFERROR(Project_Start+스크롤_증분,TODAY())</f>
        <v>44601</v>
      </c>
      <c r="I7" s="52">
        <f ca="1">H7+1</f>
        <v>44602</v>
      </c>
      <c r="J7" s="52">
        <f t="shared" ref="J7:AW7" ca="1" si="0">I7+1</f>
        <v>44603</v>
      </c>
      <c r="K7" s="52">
        <f ca="1">J7+1</f>
        <v>44604</v>
      </c>
      <c r="L7" s="52">
        <f t="shared" ca="1" si="0"/>
        <v>44605</v>
      </c>
      <c r="M7" s="52">
        <f t="shared" ca="1" si="0"/>
        <v>44606</v>
      </c>
      <c r="N7" s="52">
        <f t="shared" ca="1" si="0"/>
        <v>44607</v>
      </c>
      <c r="O7" s="52">
        <f ca="1">N7+1</f>
        <v>44608</v>
      </c>
      <c r="P7" s="52">
        <f ca="1">O7+1</f>
        <v>44609</v>
      </c>
      <c r="Q7" s="52">
        <f t="shared" ca="1" si="0"/>
        <v>44610</v>
      </c>
      <c r="R7" s="52">
        <f t="shared" ca="1" si="0"/>
        <v>44611</v>
      </c>
      <c r="S7" s="52">
        <f t="shared" ca="1" si="0"/>
        <v>44612</v>
      </c>
      <c r="T7" s="52">
        <f t="shared" ca="1" si="0"/>
        <v>44613</v>
      </c>
      <c r="U7" s="52">
        <f t="shared" ca="1" si="0"/>
        <v>44614</v>
      </c>
      <c r="V7" s="52">
        <f ca="1">U7+1</f>
        <v>44615</v>
      </c>
      <c r="W7" s="52">
        <f ca="1">V7+1</f>
        <v>44616</v>
      </c>
      <c r="X7" s="52">
        <f t="shared" ca="1" si="0"/>
        <v>44617</v>
      </c>
      <c r="Y7" s="52">
        <f t="shared" ca="1" si="0"/>
        <v>44618</v>
      </c>
      <c r="Z7" s="52">
        <f t="shared" ca="1" si="0"/>
        <v>44619</v>
      </c>
      <c r="AA7" s="52">
        <f t="shared" ca="1" si="0"/>
        <v>44620</v>
      </c>
      <c r="AB7" s="52">
        <f t="shared" ca="1" si="0"/>
        <v>44621</v>
      </c>
      <c r="AC7" s="52">
        <f ca="1">AB7+1</f>
        <v>44622</v>
      </c>
      <c r="AD7" s="52">
        <f ca="1">AC7+1</f>
        <v>44623</v>
      </c>
      <c r="AE7" s="52">
        <f t="shared" ca="1" si="0"/>
        <v>44624</v>
      </c>
      <c r="AF7" s="52">
        <f t="shared" ca="1" si="0"/>
        <v>44625</v>
      </c>
      <c r="AG7" s="52">
        <f t="shared" ca="1" si="0"/>
        <v>44626</v>
      </c>
      <c r="AH7" s="52">
        <f t="shared" ca="1" si="0"/>
        <v>44627</v>
      </c>
      <c r="AI7" s="52">
        <f t="shared" ca="1" si="0"/>
        <v>44628</v>
      </c>
      <c r="AJ7" s="52">
        <f ca="1">AI7+1</f>
        <v>44629</v>
      </c>
      <c r="AK7" s="52">
        <f ca="1">AJ7+1</f>
        <v>44630</v>
      </c>
      <c r="AL7" s="52">
        <f t="shared" ca="1" si="0"/>
        <v>44631</v>
      </c>
      <c r="AM7" s="52">
        <f t="shared" ca="1" si="0"/>
        <v>44632</v>
      </c>
      <c r="AN7" s="52">
        <f t="shared" ca="1" si="0"/>
        <v>44633</v>
      </c>
      <c r="AO7" s="52">
        <f t="shared" ca="1" si="0"/>
        <v>44634</v>
      </c>
      <c r="AP7" s="52">
        <f t="shared" ca="1" si="0"/>
        <v>44635</v>
      </c>
      <c r="AQ7" s="52">
        <f ca="1">AP7+1</f>
        <v>44636</v>
      </c>
      <c r="AR7" s="52">
        <f ca="1">AQ7+1</f>
        <v>44637</v>
      </c>
      <c r="AS7" s="52">
        <f t="shared" ca="1" si="0"/>
        <v>44638</v>
      </c>
      <c r="AT7" s="52">
        <f t="shared" ca="1" si="0"/>
        <v>44639</v>
      </c>
      <c r="AU7" s="52">
        <f t="shared" ca="1" si="0"/>
        <v>44640</v>
      </c>
      <c r="AV7" s="52">
        <f t="shared" ca="1" si="0"/>
        <v>44641</v>
      </c>
      <c r="AW7" s="52">
        <f t="shared" ca="1" si="0"/>
        <v>44642</v>
      </c>
      <c r="AX7" s="52">
        <f ca="1">AW7+1</f>
        <v>44643</v>
      </c>
      <c r="AY7" s="52">
        <f ca="1">AX7+1</f>
        <v>44644</v>
      </c>
      <c r="AZ7" s="52">
        <f t="shared" ref="AZ7:BD7" ca="1" si="1">AY7+1</f>
        <v>44645</v>
      </c>
      <c r="BA7" s="52">
        <f t="shared" ca="1" si="1"/>
        <v>44646</v>
      </c>
      <c r="BB7" s="52">
        <f t="shared" ca="1" si="1"/>
        <v>44647</v>
      </c>
      <c r="BC7" s="52">
        <f t="shared" ca="1" si="1"/>
        <v>44648</v>
      </c>
      <c r="BD7" s="52">
        <f t="shared" ca="1" si="1"/>
        <v>44649</v>
      </c>
      <c r="BE7" s="52">
        <f ca="1">BD7+1</f>
        <v>44650</v>
      </c>
      <c r="BF7" s="52">
        <f ca="1">BE7+1</f>
        <v>44651</v>
      </c>
      <c r="BG7" s="52">
        <f t="shared" ref="BG7:BK7" ca="1" si="2">BF7+1</f>
        <v>44652</v>
      </c>
      <c r="BH7" s="52">
        <f t="shared" ca="1" si="2"/>
        <v>44653</v>
      </c>
      <c r="BI7" s="52">
        <f t="shared" ca="1" si="2"/>
        <v>44654</v>
      </c>
      <c r="BJ7" s="52">
        <f t="shared" ca="1" si="2"/>
        <v>44655</v>
      </c>
      <c r="BK7" s="66">
        <f t="shared" ca="1" si="2"/>
        <v>44656</v>
      </c>
    </row>
    <row r="8" spans="1:63" customFormat="1" ht="30.95" customHeight="1">
      <c r="A8" s="6"/>
      <c r="B8" s="28" t="s">
        <v>8</v>
      </c>
      <c r="C8" s="29" t="s">
        <v>19</v>
      </c>
      <c r="D8" s="29" t="s">
        <v>20</v>
      </c>
      <c r="E8" s="29" t="s">
        <v>21</v>
      </c>
      <c r="F8" s="29" t="s">
        <v>22</v>
      </c>
      <c r="G8" s="68"/>
      <c r="H8" s="53" t="str">
        <f t="shared" ref="H8:AM8" ca="1" si="3">LEFT(TEXT(H7,"aaa"),1)</f>
        <v>수</v>
      </c>
      <c r="I8" s="50" t="str">
        <f t="shared" ca="1" si="3"/>
        <v>목</v>
      </c>
      <c r="J8" s="50" t="str">
        <f t="shared" ca="1" si="3"/>
        <v>금</v>
      </c>
      <c r="K8" s="50" t="str">
        <f t="shared" ca="1" si="3"/>
        <v>토</v>
      </c>
      <c r="L8" s="50" t="str">
        <f t="shared" ca="1" si="3"/>
        <v>일</v>
      </c>
      <c r="M8" s="50" t="str">
        <f t="shared" ca="1" si="3"/>
        <v>월</v>
      </c>
      <c r="N8" s="50" t="str">
        <f t="shared" ca="1" si="3"/>
        <v>화</v>
      </c>
      <c r="O8" s="50" t="str">
        <f t="shared" ca="1" si="3"/>
        <v>수</v>
      </c>
      <c r="P8" s="50" t="str">
        <f t="shared" ca="1" si="3"/>
        <v>목</v>
      </c>
      <c r="Q8" s="50" t="str">
        <f t="shared" ca="1" si="3"/>
        <v>금</v>
      </c>
      <c r="R8" s="50" t="str">
        <f t="shared" ca="1" si="3"/>
        <v>토</v>
      </c>
      <c r="S8" s="50" t="str">
        <f t="shared" ca="1" si="3"/>
        <v>일</v>
      </c>
      <c r="T8" s="50" t="str">
        <f t="shared" ca="1" si="3"/>
        <v>월</v>
      </c>
      <c r="U8" s="50" t="str">
        <f t="shared" ca="1" si="3"/>
        <v>화</v>
      </c>
      <c r="V8" s="50" t="str">
        <f t="shared" ca="1" si="3"/>
        <v>수</v>
      </c>
      <c r="W8" s="50" t="str">
        <f t="shared" ca="1" si="3"/>
        <v>목</v>
      </c>
      <c r="X8" s="50" t="str">
        <f t="shared" ca="1" si="3"/>
        <v>금</v>
      </c>
      <c r="Y8" s="50" t="str">
        <f t="shared" ca="1" si="3"/>
        <v>토</v>
      </c>
      <c r="Z8" s="50" t="str">
        <f t="shared" ca="1" si="3"/>
        <v>일</v>
      </c>
      <c r="AA8" s="50" t="str">
        <f t="shared" ca="1" si="3"/>
        <v>월</v>
      </c>
      <c r="AB8" s="50" t="str">
        <f t="shared" ca="1" si="3"/>
        <v>화</v>
      </c>
      <c r="AC8" s="50" t="str">
        <f t="shared" ca="1" si="3"/>
        <v>수</v>
      </c>
      <c r="AD8" s="50" t="str">
        <f t="shared" ca="1" si="3"/>
        <v>목</v>
      </c>
      <c r="AE8" s="50" t="str">
        <f t="shared" ca="1" si="3"/>
        <v>금</v>
      </c>
      <c r="AF8" s="50" t="str">
        <f t="shared" ca="1" si="3"/>
        <v>토</v>
      </c>
      <c r="AG8" s="50" t="str">
        <f t="shared" ca="1" si="3"/>
        <v>일</v>
      </c>
      <c r="AH8" s="50" t="str">
        <f t="shared" ca="1" si="3"/>
        <v>월</v>
      </c>
      <c r="AI8" s="50" t="str">
        <f t="shared" ca="1" si="3"/>
        <v>화</v>
      </c>
      <c r="AJ8" s="50" t="str">
        <f t="shared" ca="1" si="3"/>
        <v>수</v>
      </c>
      <c r="AK8" s="50" t="str">
        <f t="shared" ca="1" si="3"/>
        <v>목</v>
      </c>
      <c r="AL8" s="50" t="str">
        <f t="shared" ca="1" si="3"/>
        <v>금</v>
      </c>
      <c r="AM8" s="50" t="str">
        <f t="shared" ca="1" si="3"/>
        <v>토</v>
      </c>
      <c r="AN8" s="50" t="str">
        <f t="shared" ref="AN8:BS8" ca="1" si="4">LEFT(TEXT(AN7,"aaa"),1)</f>
        <v>일</v>
      </c>
      <c r="AO8" s="50" t="str">
        <f t="shared" ca="1" si="4"/>
        <v>월</v>
      </c>
      <c r="AP8" s="50" t="str">
        <f t="shared" ca="1" si="4"/>
        <v>화</v>
      </c>
      <c r="AQ8" s="50" t="str">
        <f t="shared" ca="1" si="4"/>
        <v>수</v>
      </c>
      <c r="AR8" s="50" t="str">
        <f t="shared" ca="1" si="4"/>
        <v>목</v>
      </c>
      <c r="AS8" s="50" t="str">
        <f t="shared" ca="1" si="4"/>
        <v>금</v>
      </c>
      <c r="AT8" s="50" t="str">
        <f t="shared" ca="1" si="4"/>
        <v>토</v>
      </c>
      <c r="AU8" s="50" t="str">
        <f t="shared" ca="1" si="4"/>
        <v>일</v>
      </c>
      <c r="AV8" s="50" t="str">
        <f t="shared" ca="1" si="4"/>
        <v>월</v>
      </c>
      <c r="AW8" s="50" t="str">
        <f t="shared" ca="1" si="4"/>
        <v>화</v>
      </c>
      <c r="AX8" s="50" t="str">
        <f t="shared" ca="1" si="4"/>
        <v>수</v>
      </c>
      <c r="AY8" s="50" t="str">
        <f t="shared" ca="1" si="4"/>
        <v>목</v>
      </c>
      <c r="AZ8" s="50" t="str">
        <f t="shared" ca="1" si="4"/>
        <v>금</v>
      </c>
      <c r="BA8" s="50" t="str">
        <f t="shared" ca="1" si="4"/>
        <v>토</v>
      </c>
      <c r="BB8" s="50" t="str">
        <f t="shared" ca="1" si="4"/>
        <v>일</v>
      </c>
      <c r="BC8" s="50" t="str">
        <f t="shared" ca="1" si="4"/>
        <v>월</v>
      </c>
      <c r="BD8" s="50" t="str">
        <f t="shared" ca="1" si="4"/>
        <v>화</v>
      </c>
      <c r="BE8" s="50" t="str">
        <f t="shared" ca="1" si="4"/>
        <v>수</v>
      </c>
      <c r="BF8" s="50" t="str">
        <f t="shared" ca="1" si="4"/>
        <v>목</v>
      </c>
      <c r="BG8" s="50" t="str">
        <f t="shared" ca="1" si="4"/>
        <v>금</v>
      </c>
      <c r="BH8" s="50" t="str">
        <f t="shared" ca="1" si="4"/>
        <v>토</v>
      </c>
      <c r="BI8" s="50" t="str">
        <f t="shared" ca="1" si="4"/>
        <v>일</v>
      </c>
      <c r="BJ8" s="50" t="str">
        <f t="shared" ca="1" si="4"/>
        <v>월</v>
      </c>
      <c r="BK8" s="67" t="str">
        <f t="shared" ca="1" si="4"/>
        <v>화</v>
      </c>
    </row>
    <row r="9" spans="1:63" customFormat="1" ht="30" hidden="1" customHeight="1" thickBot="1">
      <c r="A9" s="5"/>
      <c r="B9" s="16"/>
      <c r="C9" s="9"/>
      <c r="D9" s="10"/>
      <c r="E9" s="11"/>
      <c r="F9" s="12"/>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row>
    <row r="10" spans="1:63" s="1" customFormat="1" ht="30" customHeight="1">
      <c r="A10" s="6"/>
      <c r="B10" s="40" t="s">
        <v>9</v>
      </c>
      <c r="C10" s="13"/>
      <c r="D10" s="79"/>
      <c r="E10" s="11"/>
      <c r="F10" s="12"/>
      <c r="G10" s="27"/>
      <c r="H10" s="26" t="str">
        <f>IFERROR(IF(LEN(중요_시점3[[#This Row],[요일]])=0,"",IF(AND(H$7=$E10,$F10=1),중요_시점_표식,"")),"")</f>
        <v/>
      </c>
      <c r="I10" s="26" t="str">
        <f>IFERROR(IF(LEN(중요_시점3[[#This Row],[요일]])=0,"",IF(AND(I$7=$E10,$F10=1),중요_시점_표식,"")),"")</f>
        <v/>
      </c>
      <c r="J10" s="26" t="str">
        <f>IFERROR(IF(LEN(중요_시점3[[#This Row],[요일]])=0,"",IF(AND(J$7=$E10,$F10=1),중요_시점_표식,"")),"")</f>
        <v/>
      </c>
      <c r="K10" s="26" t="str">
        <f>IFERROR(IF(LEN(중요_시점3[[#This Row],[요일]])=0,"",IF(AND(K$7=$E10,$F10=1),중요_시점_표식,"")),"")</f>
        <v/>
      </c>
      <c r="L10" s="26" t="str">
        <f>IFERROR(IF(LEN(중요_시점3[[#This Row],[요일]])=0,"",IF(AND(L$7=$E10,$F10=1),중요_시점_표식,"")),"")</f>
        <v/>
      </c>
      <c r="M10" s="26" t="str">
        <f>IFERROR(IF(LEN(중요_시점3[[#This Row],[요일]])=0,"",IF(AND(M$7=$E10,$F10=1),중요_시점_표식,"")),"")</f>
        <v/>
      </c>
      <c r="N10" s="26" t="str">
        <f>IFERROR(IF(LEN(중요_시점3[[#This Row],[요일]])=0,"",IF(AND(N$7=$E10,$F10=1),중요_시점_표식,"")),"")</f>
        <v/>
      </c>
      <c r="O10" s="26" t="str">
        <f>IFERROR(IF(LEN(중요_시점3[[#This Row],[요일]])=0,"",IF(AND(O$7=$E10,$F10=1),중요_시점_표식,"")),"")</f>
        <v/>
      </c>
      <c r="P10" s="26" t="str">
        <f>IFERROR(IF(LEN(중요_시점3[[#This Row],[요일]])=0,"",IF(AND(P$7=$E10,$F10=1),중요_시점_표식,"")),"")</f>
        <v/>
      </c>
      <c r="Q10" s="26" t="str">
        <f>IFERROR(IF(LEN(중요_시점3[[#This Row],[요일]])=0,"",IF(AND(Q$7=$E10,$F10=1),중요_시점_표식,"")),"")</f>
        <v/>
      </c>
      <c r="R10" s="26" t="str">
        <f>IFERROR(IF(LEN(중요_시점3[[#This Row],[요일]])=0,"",IF(AND(R$7=$E10,$F10=1),중요_시점_표식,"")),"")</f>
        <v/>
      </c>
      <c r="S10" s="26" t="str">
        <f>IFERROR(IF(LEN(중요_시점3[[#This Row],[요일]])=0,"",IF(AND(S$7=$E10,$F10=1),중요_시점_표식,"")),"")</f>
        <v/>
      </c>
      <c r="T10" s="26" t="str">
        <f>IFERROR(IF(LEN(중요_시점3[[#This Row],[요일]])=0,"",IF(AND(T$7=$E10,$F10=1),중요_시점_표식,"")),"")</f>
        <v/>
      </c>
      <c r="U10" s="26" t="str">
        <f>IFERROR(IF(LEN(중요_시점3[[#This Row],[요일]])=0,"",IF(AND(U$7=$E10,$F10=1),중요_시점_표식,"")),"")</f>
        <v/>
      </c>
      <c r="V10" s="26" t="str">
        <f>IFERROR(IF(LEN(중요_시점3[[#This Row],[요일]])=0,"",IF(AND(V$7=$E10,$F10=1),중요_시점_표식,"")),"")</f>
        <v/>
      </c>
      <c r="W10" s="26" t="str">
        <f>IFERROR(IF(LEN(중요_시점3[[#This Row],[요일]])=0,"",IF(AND(W$7=$E10,$F10=1),중요_시점_표식,"")),"")</f>
        <v/>
      </c>
      <c r="X10" s="26" t="str">
        <f>IFERROR(IF(LEN(중요_시점3[[#This Row],[요일]])=0,"",IF(AND(X$7=$E10,$F10=1),중요_시점_표식,"")),"")</f>
        <v/>
      </c>
      <c r="Y10" s="26" t="str">
        <f>IFERROR(IF(LEN(중요_시점3[[#This Row],[요일]])=0,"",IF(AND(Y$7=$E10,$F10=1),중요_시점_표식,"")),"")</f>
        <v/>
      </c>
      <c r="Z10" s="26" t="str">
        <f>IFERROR(IF(LEN(중요_시점3[[#This Row],[요일]])=0,"",IF(AND(Z$7=$E10,$F10=1),중요_시점_표식,"")),"")</f>
        <v/>
      </c>
      <c r="AA10" s="26" t="str">
        <f>IFERROR(IF(LEN(중요_시점3[[#This Row],[요일]])=0,"",IF(AND(AA$7=$E10,$F10=1),중요_시점_표식,"")),"")</f>
        <v/>
      </c>
      <c r="AB10" s="26" t="str">
        <f>IFERROR(IF(LEN(중요_시점3[[#This Row],[요일]])=0,"",IF(AND(AB$7=$E10,$F10=1),중요_시점_표식,"")),"")</f>
        <v/>
      </c>
      <c r="AC10" s="26" t="str">
        <f>IFERROR(IF(LEN(중요_시점3[[#This Row],[요일]])=0,"",IF(AND(AC$7=$E10,$F10=1),중요_시점_표식,"")),"")</f>
        <v/>
      </c>
      <c r="AD10" s="26" t="str">
        <f>IFERROR(IF(LEN(중요_시점3[[#This Row],[요일]])=0,"",IF(AND(AD$7=$E10,$F10=1),중요_시점_표식,"")),"")</f>
        <v/>
      </c>
      <c r="AE10" s="26" t="str">
        <f>IFERROR(IF(LEN(중요_시점3[[#This Row],[요일]])=0,"",IF(AND(AE$7=$E10,$F10=1),중요_시점_표식,"")),"")</f>
        <v/>
      </c>
      <c r="AF10" s="26" t="str">
        <f>IFERROR(IF(LEN(중요_시점3[[#This Row],[요일]])=0,"",IF(AND(AF$7=$E10,$F10=1),중요_시점_표식,"")),"")</f>
        <v/>
      </c>
      <c r="AG10" s="26" t="str">
        <f>IFERROR(IF(LEN(중요_시점3[[#This Row],[요일]])=0,"",IF(AND(AG$7=$E10,$F10=1),중요_시점_표식,"")),"")</f>
        <v/>
      </c>
      <c r="AH10" s="26" t="str">
        <f>IFERROR(IF(LEN(중요_시점3[[#This Row],[요일]])=0,"",IF(AND(AH$7=$E10,$F10=1),중요_시점_표식,"")),"")</f>
        <v/>
      </c>
      <c r="AI10" s="26" t="str">
        <f>IFERROR(IF(LEN(중요_시점3[[#This Row],[요일]])=0,"",IF(AND(AI$7=$E10,$F10=1),중요_시점_표식,"")),"")</f>
        <v/>
      </c>
      <c r="AJ10" s="26" t="str">
        <f>IFERROR(IF(LEN(중요_시점3[[#This Row],[요일]])=0,"",IF(AND(AJ$7=$E10,$F10=1),중요_시점_표식,"")),"")</f>
        <v/>
      </c>
      <c r="AK10" s="26" t="str">
        <f>IFERROR(IF(LEN(중요_시점3[[#This Row],[요일]])=0,"",IF(AND(AK$7=$E10,$F10=1),중요_시점_표식,"")),"")</f>
        <v/>
      </c>
      <c r="AL10" s="26" t="str">
        <f>IFERROR(IF(LEN(중요_시점3[[#This Row],[요일]])=0,"",IF(AND(AL$7=$E10,$F10=1),중요_시점_표식,"")),"")</f>
        <v/>
      </c>
      <c r="AM10" s="26" t="str">
        <f>IFERROR(IF(LEN(중요_시점3[[#This Row],[요일]])=0,"",IF(AND(AM$7=$E10,$F10=1),중요_시점_표식,"")),"")</f>
        <v/>
      </c>
      <c r="AN10" s="26" t="str">
        <f>IFERROR(IF(LEN(중요_시점3[[#This Row],[요일]])=0,"",IF(AND(AN$7=$E10,$F10=1),중요_시점_표식,"")),"")</f>
        <v/>
      </c>
      <c r="AO10" s="26" t="str">
        <f>IFERROR(IF(LEN(중요_시점3[[#This Row],[요일]])=0,"",IF(AND(AO$7=$E10,$F10=1),중요_시점_표식,"")),"")</f>
        <v/>
      </c>
      <c r="AP10" s="26" t="str">
        <f>IFERROR(IF(LEN(중요_시점3[[#This Row],[요일]])=0,"",IF(AND(AP$7=$E10,$F10=1),중요_시점_표식,"")),"")</f>
        <v/>
      </c>
      <c r="AQ10" s="26" t="str">
        <f>IFERROR(IF(LEN(중요_시점3[[#This Row],[요일]])=0,"",IF(AND(AQ$7=$E10,$F10=1),중요_시점_표식,"")),"")</f>
        <v/>
      </c>
      <c r="AR10" s="26" t="str">
        <f>IFERROR(IF(LEN(중요_시점3[[#This Row],[요일]])=0,"",IF(AND(AR$7=$E10,$F10=1),중요_시점_표식,"")),"")</f>
        <v/>
      </c>
      <c r="AS10" s="26" t="str">
        <f>IFERROR(IF(LEN(중요_시점3[[#This Row],[요일]])=0,"",IF(AND(AS$7=$E10,$F10=1),중요_시점_표식,"")),"")</f>
        <v/>
      </c>
      <c r="AT10" s="26" t="str">
        <f>IFERROR(IF(LEN(중요_시점3[[#This Row],[요일]])=0,"",IF(AND(AT$7=$E10,$F10=1),중요_시점_표식,"")),"")</f>
        <v/>
      </c>
      <c r="AU10" s="26" t="str">
        <f>IFERROR(IF(LEN(중요_시점3[[#This Row],[요일]])=0,"",IF(AND(AU$7=$E10,$F10=1),중요_시점_표식,"")),"")</f>
        <v/>
      </c>
      <c r="AV10" s="26" t="str">
        <f>IFERROR(IF(LEN(중요_시점3[[#This Row],[요일]])=0,"",IF(AND(AV$7=$E10,$F10=1),중요_시점_표식,"")),"")</f>
        <v/>
      </c>
      <c r="AW10" s="26" t="str">
        <f>IFERROR(IF(LEN(중요_시점3[[#This Row],[요일]])=0,"",IF(AND(AW$7=$E10,$F10=1),중요_시점_표식,"")),"")</f>
        <v/>
      </c>
      <c r="AX10" s="26" t="str">
        <f>IFERROR(IF(LEN(중요_시점3[[#This Row],[요일]])=0,"",IF(AND(AX$7=$E10,$F10=1),중요_시점_표식,"")),"")</f>
        <v/>
      </c>
      <c r="AY10" s="26" t="str">
        <f>IFERROR(IF(LEN(중요_시점3[[#This Row],[요일]])=0,"",IF(AND(AY$7=$E10,$F10=1),중요_시점_표식,"")),"")</f>
        <v/>
      </c>
      <c r="AZ10" s="26" t="str">
        <f>IFERROR(IF(LEN(중요_시점3[[#This Row],[요일]])=0,"",IF(AND(AZ$7=$E10,$F10=1),중요_시점_표식,"")),"")</f>
        <v/>
      </c>
      <c r="BA10" s="26" t="str">
        <f>IFERROR(IF(LEN(중요_시점3[[#This Row],[요일]])=0,"",IF(AND(BA$7=$E10,$F10=1),중요_시점_표식,"")),"")</f>
        <v/>
      </c>
      <c r="BB10" s="26" t="str">
        <f>IFERROR(IF(LEN(중요_시점3[[#This Row],[요일]])=0,"",IF(AND(BB$7=$E10,$F10=1),중요_시점_표식,"")),"")</f>
        <v/>
      </c>
      <c r="BC10" s="26" t="str">
        <f>IFERROR(IF(LEN(중요_시점3[[#This Row],[요일]])=0,"",IF(AND(BC$7=$E10,$F10=1),중요_시점_표식,"")),"")</f>
        <v/>
      </c>
      <c r="BD10" s="26" t="str">
        <f>IFERROR(IF(LEN(중요_시점3[[#This Row],[요일]])=0,"",IF(AND(BD$7=$E10,$F10=1),중요_시점_표식,"")),"")</f>
        <v/>
      </c>
      <c r="BE10" s="26" t="str">
        <f>IFERROR(IF(LEN(중요_시점3[[#This Row],[요일]])=0,"",IF(AND(BE$7=$E10,$F10=1),중요_시점_표식,"")),"")</f>
        <v/>
      </c>
      <c r="BF10" s="26" t="str">
        <f>IFERROR(IF(LEN(중요_시점3[[#This Row],[요일]])=0,"",IF(AND(BF$7=$E10,$F10=1),중요_시점_표식,"")),"")</f>
        <v/>
      </c>
      <c r="BG10" s="26" t="str">
        <f>IFERROR(IF(LEN(중요_시점3[[#This Row],[요일]])=0,"",IF(AND(BG$7=$E10,$F10=1),중요_시점_표식,"")),"")</f>
        <v/>
      </c>
      <c r="BH10" s="26" t="str">
        <f>IFERROR(IF(LEN(중요_시점3[[#This Row],[요일]])=0,"",IF(AND(BH$7=$E10,$F10=1),중요_시점_표식,"")),"")</f>
        <v/>
      </c>
      <c r="BI10" s="26" t="str">
        <f>IFERROR(IF(LEN(중요_시점3[[#This Row],[요일]])=0,"",IF(AND(BI$7=$E10,$F10=1),중요_시점_표식,"")),"")</f>
        <v/>
      </c>
      <c r="BJ10" s="26" t="str">
        <f>IFERROR(IF(LEN(중요_시점3[[#This Row],[요일]])=0,"",IF(AND(BJ$7=$E10,$F10=1),중요_시점_표식,"")),"")</f>
        <v/>
      </c>
      <c r="BK10" s="26" t="str">
        <f>IFERROR(IF(LEN(중요_시점3[[#This Row],[요일]])=0,"",IF(AND(BK$7=$E10,$F10=1),중요_시점_표식,"")),"")</f>
        <v/>
      </c>
    </row>
    <row r="11" spans="1:63" s="1" customFormat="1" ht="30" customHeight="1" outlineLevel="1">
      <c r="A11" s="6"/>
      <c r="B11" s="49" t="s">
        <v>10</v>
      </c>
      <c r="C11" s="13"/>
      <c r="D11" s="81">
        <v>0.25</v>
      </c>
      <c r="E11" s="42">
        <f ca="1">TODAY()</f>
        <v>44588</v>
      </c>
      <c r="F11" s="12">
        <v>3</v>
      </c>
      <c r="G11" s="27"/>
      <c r="H11" s="26" t="str">
        <f ca="1">IFERROR(IF(LEN(중요_시점3[[#This Row],[요일]])=0,"",IF(AND(H$7=$E11,$F11=1),중요_시점_표식,"")),"")</f>
        <v/>
      </c>
      <c r="I11" s="26" t="str">
        <f ca="1">IFERROR(IF(LEN(중요_시점3[[#This Row],[요일]])=0,"",IF(AND(I$7=$E11,$F11=1),중요_시점_표식,"")),"")</f>
        <v/>
      </c>
      <c r="J11" s="26" t="str">
        <f ca="1">IFERROR(IF(LEN(중요_시점3[[#This Row],[요일]])=0,"",IF(AND(J$7=$E11,$F11=1),중요_시점_표식,"")),"")</f>
        <v/>
      </c>
      <c r="K11" s="26" t="str">
        <f ca="1">IFERROR(IF(LEN(중요_시점3[[#This Row],[요일]])=0,"",IF(AND(K$7=$E11,$F11=1),중요_시점_표식,"")),"")</f>
        <v/>
      </c>
      <c r="L11" s="26" t="str">
        <f ca="1">IFERROR(IF(LEN(중요_시점3[[#This Row],[요일]])=0,"",IF(AND(L$7=$E11,$F11=1),중요_시점_표식,"")),"")</f>
        <v/>
      </c>
      <c r="M11" s="26" t="str">
        <f ca="1">IFERROR(IF(LEN(중요_시점3[[#This Row],[요일]])=0,"",IF(AND(M$7=$E11,$F11=1),중요_시점_표식,"")),"")</f>
        <v/>
      </c>
      <c r="N11" s="26" t="str">
        <f ca="1">IFERROR(IF(LEN(중요_시점3[[#This Row],[요일]])=0,"",IF(AND(N$7=$E11,$F11=1),중요_시점_표식,"")),"")</f>
        <v/>
      </c>
      <c r="O11" s="26" t="str">
        <f ca="1">IFERROR(IF(LEN(중요_시점3[[#This Row],[요일]])=0,"",IF(AND(O$7=$E11,$F11=1),중요_시점_표식,"")),"")</f>
        <v/>
      </c>
      <c r="P11" s="26" t="str">
        <f ca="1">IFERROR(IF(LEN(중요_시점3[[#This Row],[요일]])=0,"",IF(AND(P$7=$E11,$F11=1),중요_시점_표식,"")),"")</f>
        <v/>
      </c>
      <c r="Q11" s="26" t="str">
        <f ca="1">IFERROR(IF(LEN(중요_시점3[[#This Row],[요일]])=0,"",IF(AND(Q$7=$E11,$F11=1),중요_시점_표식,"")),"")</f>
        <v/>
      </c>
      <c r="R11" s="26" t="str">
        <f ca="1">IFERROR(IF(LEN(중요_시점3[[#This Row],[요일]])=0,"",IF(AND(R$7=$E11,$F11=1),중요_시점_표식,"")),"")</f>
        <v/>
      </c>
      <c r="S11" s="26" t="str">
        <f ca="1">IFERROR(IF(LEN(중요_시점3[[#This Row],[요일]])=0,"",IF(AND(S$7=$E11,$F11=1),중요_시점_표식,"")),"")</f>
        <v/>
      </c>
      <c r="T11" s="26" t="str">
        <f ca="1">IFERROR(IF(LEN(중요_시점3[[#This Row],[요일]])=0,"",IF(AND(T$7=$E11,$F11=1),중요_시점_표식,"")),"")</f>
        <v/>
      </c>
      <c r="U11" s="26" t="str">
        <f ca="1">IFERROR(IF(LEN(중요_시점3[[#This Row],[요일]])=0,"",IF(AND(U$7=$E11,$F11=1),중요_시점_표식,"")),"")</f>
        <v/>
      </c>
      <c r="V11" s="26" t="str">
        <f ca="1">IFERROR(IF(LEN(중요_시점3[[#This Row],[요일]])=0,"",IF(AND(V$7=$E11,$F11=1),중요_시점_표식,"")),"")</f>
        <v/>
      </c>
      <c r="W11" s="26" t="str">
        <f ca="1">IFERROR(IF(LEN(중요_시점3[[#This Row],[요일]])=0,"",IF(AND(W$7=$E11,$F11=1),중요_시점_표식,"")),"")</f>
        <v/>
      </c>
      <c r="X11" s="26" t="str">
        <f ca="1">IFERROR(IF(LEN(중요_시점3[[#This Row],[요일]])=0,"",IF(AND(X$7=$E11,$F11=1),중요_시점_표식,"")),"")</f>
        <v/>
      </c>
      <c r="Y11" s="26" t="str">
        <f ca="1">IFERROR(IF(LEN(중요_시점3[[#This Row],[요일]])=0,"",IF(AND(Y$7=$E11,$F11=1),중요_시점_표식,"")),"")</f>
        <v/>
      </c>
      <c r="Z11" s="26" t="str">
        <f ca="1">IFERROR(IF(LEN(중요_시점3[[#This Row],[요일]])=0,"",IF(AND(Z$7=$E11,$F11=1),중요_시점_표식,"")),"")</f>
        <v/>
      </c>
      <c r="AA11" s="26" t="str">
        <f ca="1">IFERROR(IF(LEN(중요_시점3[[#This Row],[요일]])=0,"",IF(AND(AA$7=$E11,$F11=1),중요_시점_표식,"")),"")</f>
        <v/>
      </c>
      <c r="AB11" s="26" t="str">
        <f ca="1">IFERROR(IF(LEN(중요_시점3[[#This Row],[요일]])=0,"",IF(AND(AB$7=$E11,$F11=1),중요_시점_표식,"")),"")</f>
        <v/>
      </c>
      <c r="AC11" s="26" t="str">
        <f ca="1">IFERROR(IF(LEN(중요_시점3[[#This Row],[요일]])=0,"",IF(AND(AC$7=$E11,$F11=1),중요_시점_표식,"")),"")</f>
        <v/>
      </c>
      <c r="AD11" s="26" t="str">
        <f ca="1">IFERROR(IF(LEN(중요_시점3[[#This Row],[요일]])=0,"",IF(AND(AD$7=$E11,$F11=1),중요_시점_표식,"")),"")</f>
        <v/>
      </c>
      <c r="AE11" s="26" t="str">
        <f ca="1">IFERROR(IF(LEN(중요_시점3[[#This Row],[요일]])=0,"",IF(AND(AE$7=$E11,$F11=1),중요_시점_표식,"")),"")</f>
        <v/>
      </c>
      <c r="AF11" s="26" t="str">
        <f ca="1">IFERROR(IF(LEN(중요_시점3[[#This Row],[요일]])=0,"",IF(AND(AF$7=$E11,$F11=1),중요_시점_표식,"")),"")</f>
        <v/>
      </c>
      <c r="AG11" s="26" t="str">
        <f ca="1">IFERROR(IF(LEN(중요_시점3[[#This Row],[요일]])=0,"",IF(AND(AG$7=$E11,$F11=1),중요_시점_표식,"")),"")</f>
        <v/>
      </c>
      <c r="AH11" s="26" t="str">
        <f ca="1">IFERROR(IF(LEN(중요_시점3[[#This Row],[요일]])=0,"",IF(AND(AH$7=$E11,$F11=1),중요_시점_표식,"")),"")</f>
        <v/>
      </c>
      <c r="AI11" s="26" t="str">
        <f ca="1">IFERROR(IF(LEN(중요_시점3[[#This Row],[요일]])=0,"",IF(AND(AI$7=$E11,$F11=1),중요_시점_표식,"")),"")</f>
        <v/>
      </c>
      <c r="AJ11" s="26" t="str">
        <f ca="1">IFERROR(IF(LEN(중요_시점3[[#This Row],[요일]])=0,"",IF(AND(AJ$7=$E11,$F11=1),중요_시점_표식,"")),"")</f>
        <v/>
      </c>
      <c r="AK11" s="26" t="str">
        <f ca="1">IFERROR(IF(LEN(중요_시점3[[#This Row],[요일]])=0,"",IF(AND(AK$7=$E11,$F11=1),중요_시점_표식,"")),"")</f>
        <v/>
      </c>
      <c r="AL11" s="26" t="str">
        <f ca="1">IFERROR(IF(LEN(중요_시점3[[#This Row],[요일]])=0,"",IF(AND(AL$7=$E11,$F11=1),중요_시점_표식,"")),"")</f>
        <v/>
      </c>
      <c r="AM11" s="26" t="str">
        <f ca="1">IFERROR(IF(LEN(중요_시점3[[#This Row],[요일]])=0,"",IF(AND(AM$7=$E11,$F11=1),중요_시점_표식,"")),"")</f>
        <v/>
      </c>
      <c r="AN11" s="26" t="str">
        <f ca="1">IFERROR(IF(LEN(중요_시점3[[#This Row],[요일]])=0,"",IF(AND(AN$7=$E11,$F11=1),중요_시점_표식,"")),"")</f>
        <v/>
      </c>
      <c r="AO11" s="26" t="str">
        <f ca="1">IFERROR(IF(LEN(중요_시점3[[#This Row],[요일]])=0,"",IF(AND(AO$7=$E11,$F11=1),중요_시점_표식,"")),"")</f>
        <v/>
      </c>
      <c r="AP11" s="26" t="str">
        <f ca="1">IFERROR(IF(LEN(중요_시점3[[#This Row],[요일]])=0,"",IF(AND(AP$7=$E11,$F11=1),중요_시점_표식,"")),"")</f>
        <v/>
      </c>
      <c r="AQ11" s="26" t="str">
        <f ca="1">IFERROR(IF(LEN(중요_시점3[[#This Row],[요일]])=0,"",IF(AND(AQ$7=$E11,$F11=1),중요_시점_표식,"")),"")</f>
        <v/>
      </c>
      <c r="AR11" s="26" t="str">
        <f ca="1">IFERROR(IF(LEN(중요_시점3[[#This Row],[요일]])=0,"",IF(AND(AR$7=$E11,$F11=1),중요_시점_표식,"")),"")</f>
        <v/>
      </c>
      <c r="AS11" s="26" t="str">
        <f ca="1">IFERROR(IF(LEN(중요_시점3[[#This Row],[요일]])=0,"",IF(AND(AS$7=$E11,$F11=1),중요_시점_표식,"")),"")</f>
        <v/>
      </c>
      <c r="AT11" s="26" t="str">
        <f ca="1">IFERROR(IF(LEN(중요_시점3[[#This Row],[요일]])=0,"",IF(AND(AT$7=$E11,$F11=1),중요_시점_표식,"")),"")</f>
        <v/>
      </c>
      <c r="AU11" s="26" t="str">
        <f ca="1">IFERROR(IF(LEN(중요_시점3[[#This Row],[요일]])=0,"",IF(AND(AU$7=$E11,$F11=1),중요_시점_표식,"")),"")</f>
        <v/>
      </c>
      <c r="AV11" s="26" t="str">
        <f ca="1">IFERROR(IF(LEN(중요_시점3[[#This Row],[요일]])=0,"",IF(AND(AV$7=$E11,$F11=1),중요_시점_표식,"")),"")</f>
        <v/>
      </c>
      <c r="AW11" s="26" t="str">
        <f ca="1">IFERROR(IF(LEN(중요_시점3[[#This Row],[요일]])=0,"",IF(AND(AW$7=$E11,$F11=1),중요_시점_표식,"")),"")</f>
        <v/>
      </c>
      <c r="AX11" s="26" t="str">
        <f ca="1">IFERROR(IF(LEN(중요_시점3[[#This Row],[요일]])=0,"",IF(AND(AX$7=$E11,$F11=1),중요_시점_표식,"")),"")</f>
        <v/>
      </c>
      <c r="AY11" s="26" t="str">
        <f ca="1">IFERROR(IF(LEN(중요_시점3[[#This Row],[요일]])=0,"",IF(AND(AY$7=$E11,$F11=1),중요_시점_표식,"")),"")</f>
        <v/>
      </c>
      <c r="AZ11" s="26" t="str">
        <f ca="1">IFERROR(IF(LEN(중요_시점3[[#This Row],[요일]])=0,"",IF(AND(AZ$7=$E11,$F11=1),중요_시점_표식,"")),"")</f>
        <v/>
      </c>
      <c r="BA11" s="26" t="str">
        <f ca="1">IFERROR(IF(LEN(중요_시점3[[#This Row],[요일]])=0,"",IF(AND(BA$7=$E11,$F11=1),중요_시점_표식,"")),"")</f>
        <v/>
      </c>
      <c r="BB11" s="26" t="str">
        <f ca="1">IFERROR(IF(LEN(중요_시점3[[#This Row],[요일]])=0,"",IF(AND(BB$7=$E11,$F11=1),중요_시점_표식,"")),"")</f>
        <v/>
      </c>
      <c r="BC11" s="26" t="str">
        <f ca="1">IFERROR(IF(LEN(중요_시점3[[#This Row],[요일]])=0,"",IF(AND(BC$7=$E11,$F11=1),중요_시점_표식,"")),"")</f>
        <v/>
      </c>
      <c r="BD11" s="26" t="str">
        <f ca="1">IFERROR(IF(LEN(중요_시점3[[#This Row],[요일]])=0,"",IF(AND(BD$7=$E11,$F11=1),중요_시점_표식,"")),"")</f>
        <v/>
      </c>
      <c r="BE11" s="26" t="str">
        <f ca="1">IFERROR(IF(LEN(중요_시점3[[#This Row],[요일]])=0,"",IF(AND(BE$7=$E11,$F11=1),중요_시점_표식,"")),"")</f>
        <v/>
      </c>
      <c r="BF11" s="26" t="str">
        <f ca="1">IFERROR(IF(LEN(중요_시점3[[#This Row],[요일]])=0,"",IF(AND(BF$7=$E11,$F11=1),중요_시점_표식,"")),"")</f>
        <v/>
      </c>
      <c r="BG11" s="26" t="str">
        <f ca="1">IFERROR(IF(LEN(중요_시점3[[#This Row],[요일]])=0,"",IF(AND(BG$7=$E11,$F11=1),중요_시점_표식,"")),"")</f>
        <v/>
      </c>
      <c r="BH11" s="26" t="str">
        <f ca="1">IFERROR(IF(LEN(중요_시점3[[#This Row],[요일]])=0,"",IF(AND(BH$7=$E11,$F11=1),중요_시점_표식,"")),"")</f>
        <v/>
      </c>
      <c r="BI11" s="26" t="str">
        <f ca="1">IFERROR(IF(LEN(중요_시점3[[#This Row],[요일]])=0,"",IF(AND(BI$7=$E11,$F11=1),중요_시점_표식,"")),"")</f>
        <v/>
      </c>
      <c r="BJ11" s="26" t="str">
        <f ca="1">IFERROR(IF(LEN(중요_시점3[[#This Row],[요일]])=0,"",IF(AND(BJ$7=$E11,$F11=1),중요_시점_표식,"")),"")</f>
        <v/>
      </c>
      <c r="BK11" s="26" t="str">
        <f ca="1">IFERROR(IF(LEN(중요_시점3[[#This Row],[요일]])=0,"",IF(AND(BK$7=$E11,$F11=1),중요_시점_표식,"")),"")</f>
        <v/>
      </c>
    </row>
    <row r="12" spans="1:63" s="1" customFormat="1" ht="30" customHeight="1" outlineLevel="1">
      <c r="A12" s="6"/>
      <c r="B12" s="49" t="s">
        <v>11</v>
      </c>
      <c r="C12" s="13"/>
      <c r="D12" s="44"/>
      <c r="E12" s="42">
        <f ca="1">TODAY()+5</f>
        <v>44593</v>
      </c>
      <c r="F12" s="12">
        <v>1</v>
      </c>
      <c r="G12" s="27"/>
      <c r="H12" s="26" t="str">
        <f ca="1">IFERROR(IF(LEN(중요_시점3[[#This Row],[요일]])=0,"",IF(AND(H$7=$E12,$F12=1),중요_시점_표식,"")),"")</f>
        <v/>
      </c>
      <c r="I12" s="26" t="str">
        <f ca="1">IFERROR(IF(LEN(중요_시점3[[#This Row],[요일]])=0,"",IF(AND(I$7=$E12,$F12=1),중요_시점_표식,"")),"")</f>
        <v/>
      </c>
      <c r="J12" s="26" t="str">
        <f ca="1">IFERROR(IF(LEN(중요_시점3[[#This Row],[요일]])=0,"",IF(AND(J$7=$E12,$F12=1),중요_시점_표식,"")),"")</f>
        <v/>
      </c>
      <c r="K12" s="26" t="str">
        <f ca="1">IFERROR(IF(LEN(중요_시점3[[#This Row],[요일]])=0,"",IF(AND(K$7=$E12,$F12=1),중요_시점_표식,"")),"")</f>
        <v/>
      </c>
      <c r="L12" s="26" t="str">
        <f ca="1">IFERROR(IF(LEN(중요_시점3[[#This Row],[요일]])=0,"",IF(AND(L$7=$E12,$F12=1),중요_시점_표식,"")),"")</f>
        <v/>
      </c>
      <c r="M12" s="26" t="str">
        <f ca="1">IFERROR(IF(LEN(중요_시점3[[#This Row],[요일]])=0,"",IF(AND(M$7=$E12,$F12=1),중요_시점_표식,"")),"")</f>
        <v/>
      </c>
      <c r="N12" s="26" t="str">
        <f ca="1">IFERROR(IF(LEN(중요_시점3[[#This Row],[요일]])=0,"",IF(AND(N$7=$E12,$F12=1),중요_시점_표식,"")),"")</f>
        <v/>
      </c>
      <c r="O12" s="26" t="str">
        <f ca="1">IFERROR(IF(LEN(중요_시점3[[#This Row],[요일]])=0,"",IF(AND(O$7=$E12,$F12=1),중요_시점_표식,"")),"")</f>
        <v/>
      </c>
      <c r="P12" s="26" t="str">
        <f ca="1">IFERROR(IF(LEN(중요_시점3[[#This Row],[요일]])=0,"",IF(AND(P$7=$E12,$F12=1),중요_시점_표식,"")),"")</f>
        <v/>
      </c>
      <c r="Q12" s="26" t="str">
        <f ca="1">IFERROR(IF(LEN(중요_시점3[[#This Row],[요일]])=0,"",IF(AND(Q$7=$E12,$F12=1),중요_시점_표식,"")),"")</f>
        <v/>
      </c>
      <c r="R12" s="26" t="str">
        <f ca="1">IFERROR(IF(LEN(중요_시점3[[#This Row],[요일]])=0,"",IF(AND(R$7=$E12,$F12=1),중요_시점_표식,"")),"")</f>
        <v/>
      </c>
      <c r="S12" s="26" t="str">
        <f ca="1">IFERROR(IF(LEN(중요_시점3[[#This Row],[요일]])=0,"",IF(AND(S$7=$E12,$F12=1),중요_시점_표식,"")),"")</f>
        <v/>
      </c>
      <c r="T12" s="26" t="str">
        <f ca="1">IFERROR(IF(LEN(중요_시점3[[#This Row],[요일]])=0,"",IF(AND(T$7=$E12,$F12=1),중요_시점_표식,"")),"")</f>
        <v/>
      </c>
      <c r="U12" s="26" t="str">
        <f ca="1">IFERROR(IF(LEN(중요_시점3[[#This Row],[요일]])=0,"",IF(AND(U$7=$E12,$F12=1),중요_시점_표식,"")),"")</f>
        <v/>
      </c>
      <c r="V12" s="26" t="str">
        <f ca="1">IFERROR(IF(LEN(중요_시점3[[#This Row],[요일]])=0,"",IF(AND(V$7=$E12,$F12=1),중요_시점_표식,"")),"")</f>
        <v/>
      </c>
      <c r="W12" s="26" t="str">
        <f ca="1">IFERROR(IF(LEN(중요_시점3[[#This Row],[요일]])=0,"",IF(AND(W$7=$E12,$F12=1),중요_시점_표식,"")),"")</f>
        <v/>
      </c>
      <c r="X12" s="26" t="str">
        <f ca="1">IFERROR(IF(LEN(중요_시점3[[#This Row],[요일]])=0,"",IF(AND(X$7=$E12,$F12=1),중요_시점_표식,"")),"")</f>
        <v/>
      </c>
      <c r="Y12" s="26" t="str">
        <f ca="1">IFERROR(IF(LEN(중요_시점3[[#This Row],[요일]])=0,"",IF(AND(Y$7=$E12,$F12=1),중요_시점_표식,"")),"")</f>
        <v/>
      </c>
      <c r="Z12" s="26" t="str">
        <f ca="1">IFERROR(IF(LEN(중요_시점3[[#This Row],[요일]])=0,"",IF(AND(Z$7=$E12,$F12=1),중요_시점_표식,"")),"")</f>
        <v/>
      </c>
      <c r="AA12" s="26" t="str">
        <f ca="1">IFERROR(IF(LEN(중요_시점3[[#This Row],[요일]])=0,"",IF(AND(AA$7=$E12,$F12=1),중요_시점_표식,"")),"")</f>
        <v/>
      </c>
      <c r="AB12" s="26" t="str">
        <f ca="1">IFERROR(IF(LEN(중요_시점3[[#This Row],[요일]])=0,"",IF(AND(AB$7=$E12,$F12=1),중요_시점_표식,"")),"")</f>
        <v/>
      </c>
      <c r="AC12" s="26" t="str">
        <f ca="1">IFERROR(IF(LEN(중요_시점3[[#This Row],[요일]])=0,"",IF(AND(AC$7=$E12,$F12=1),중요_시점_표식,"")),"")</f>
        <v/>
      </c>
      <c r="AD12" s="26" t="str">
        <f ca="1">IFERROR(IF(LEN(중요_시점3[[#This Row],[요일]])=0,"",IF(AND(AD$7=$E12,$F12=1),중요_시점_표식,"")),"")</f>
        <v/>
      </c>
      <c r="AE12" s="26" t="str">
        <f ca="1">IFERROR(IF(LEN(중요_시점3[[#This Row],[요일]])=0,"",IF(AND(AE$7=$E12,$F12=1),중요_시점_표식,"")),"")</f>
        <v/>
      </c>
      <c r="AF12" s="26" t="str">
        <f ca="1">IFERROR(IF(LEN(중요_시점3[[#This Row],[요일]])=0,"",IF(AND(AF$7=$E12,$F12=1),중요_시점_표식,"")),"")</f>
        <v/>
      </c>
      <c r="AG12" s="26" t="str">
        <f ca="1">IFERROR(IF(LEN(중요_시점3[[#This Row],[요일]])=0,"",IF(AND(AG$7=$E12,$F12=1),중요_시점_표식,"")),"")</f>
        <v/>
      </c>
      <c r="AH12" s="26" t="str">
        <f ca="1">IFERROR(IF(LEN(중요_시점3[[#This Row],[요일]])=0,"",IF(AND(AH$7=$E12,$F12=1),중요_시점_표식,"")),"")</f>
        <v/>
      </c>
      <c r="AI12" s="26" t="str">
        <f ca="1">IFERROR(IF(LEN(중요_시점3[[#This Row],[요일]])=0,"",IF(AND(AI$7=$E12,$F12=1),중요_시점_표식,"")),"")</f>
        <v/>
      </c>
      <c r="AJ12" s="26" t="str">
        <f ca="1">IFERROR(IF(LEN(중요_시점3[[#This Row],[요일]])=0,"",IF(AND(AJ$7=$E12,$F12=1),중요_시점_표식,"")),"")</f>
        <v/>
      </c>
      <c r="AK12" s="26" t="str">
        <f ca="1">IFERROR(IF(LEN(중요_시점3[[#This Row],[요일]])=0,"",IF(AND(AK$7=$E12,$F12=1),중요_시점_표식,"")),"")</f>
        <v/>
      </c>
      <c r="AL12" s="26" t="str">
        <f ca="1">IFERROR(IF(LEN(중요_시점3[[#This Row],[요일]])=0,"",IF(AND(AL$7=$E12,$F12=1),중요_시점_표식,"")),"")</f>
        <v/>
      </c>
      <c r="AM12" s="26" t="str">
        <f ca="1">IFERROR(IF(LEN(중요_시점3[[#This Row],[요일]])=0,"",IF(AND(AM$7=$E12,$F12=1),중요_시점_표식,"")),"")</f>
        <v/>
      </c>
      <c r="AN12" s="26" t="str">
        <f ca="1">IFERROR(IF(LEN(중요_시점3[[#This Row],[요일]])=0,"",IF(AND(AN$7=$E12,$F12=1),중요_시점_표식,"")),"")</f>
        <v/>
      </c>
      <c r="AO12" s="26" t="str">
        <f ca="1">IFERROR(IF(LEN(중요_시점3[[#This Row],[요일]])=0,"",IF(AND(AO$7=$E12,$F12=1),중요_시점_표식,"")),"")</f>
        <v/>
      </c>
      <c r="AP12" s="26" t="str">
        <f ca="1">IFERROR(IF(LEN(중요_시점3[[#This Row],[요일]])=0,"",IF(AND(AP$7=$E12,$F12=1),중요_시점_표식,"")),"")</f>
        <v/>
      </c>
      <c r="AQ12" s="26" t="str">
        <f ca="1">IFERROR(IF(LEN(중요_시점3[[#This Row],[요일]])=0,"",IF(AND(AQ$7=$E12,$F12=1),중요_시점_표식,"")),"")</f>
        <v/>
      </c>
      <c r="AR12" s="26" t="str">
        <f ca="1">IFERROR(IF(LEN(중요_시점3[[#This Row],[요일]])=0,"",IF(AND(AR$7=$E12,$F12=1),중요_시점_표식,"")),"")</f>
        <v/>
      </c>
      <c r="AS12" s="26" t="str">
        <f ca="1">IFERROR(IF(LEN(중요_시점3[[#This Row],[요일]])=0,"",IF(AND(AS$7=$E12,$F12=1),중요_시점_표식,"")),"")</f>
        <v/>
      </c>
      <c r="AT12" s="26" t="str">
        <f ca="1">IFERROR(IF(LEN(중요_시점3[[#This Row],[요일]])=0,"",IF(AND(AT$7=$E12,$F12=1),중요_시점_표식,"")),"")</f>
        <v/>
      </c>
      <c r="AU12" s="26" t="str">
        <f ca="1">IFERROR(IF(LEN(중요_시점3[[#This Row],[요일]])=0,"",IF(AND(AU$7=$E12,$F12=1),중요_시점_표식,"")),"")</f>
        <v/>
      </c>
      <c r="AV12" s="26" t="str">
        <f ca="1">IFERROR(IF(LEN(중요_시점3[[#This Row],[요일]])=0,"",IF(AND(AV$7=$E12,$F12=1),중요_시점_표식,"")),"")</f>
        <v/>
      </c>
      <c r="AW12" s="26" t="str">
        <f ca="1">IFERROR(IF(LEN(중요_시점3[[#This Row],[요일]])=0,"",IF(AND(AW$7=$E12,$F12=1),중요_시점_표식,"")),"")</f>
        <v/>
      </c>
      <c r="AX12" s="26" t="str">
        <f ca="1">IFERROR(IF(LEN(중요_시점3[[#This Row],[요일]])=0,"",IF(AND(AX$7=$E12,$F12=1),중요_시점_표식,"")),"")</f>
        <v/>
      </c>
      <c r="AY12" s="26" t="str">
        <f ca="1">IFERROR(IF(LEN(중요_시점3[[#This Row],[요일]])=0,"",IF(AND(AY$7=$E12,$F12=1),중요_시점_표식,"")),"")</f>
        <v/>
      </c>
      <c r="AZ12" s="26" t="str">
        <f ca="1">IFERROR(IF(LEN(중요_시점3[[#This Row],[요일]])=0,"",IF(AND(AZ$7=$E12,$F12=1),중요_시점_표식,"")),"")</f>
        <v/>
      </c>
      <c r="BA12" s="26" t="str">
        <f ca="1">IFERROR(IF(LEN(중요_시점3[[#This Row],[요일]])=0,"",IF(AND(BA$7=$E12,$F12=1),중요_시점_표식,"")),"")</f>
        <v/>
      </c>
      <c r="BB12" s="26" t="str">
        <f ca="1">IFERROR(IF(LEN(중요_시점3[[#This Row],[요일]])=0,"",IF(AND(BB$7=$E12,$F12=1),중요_시점_표식,"")),"")</f>
        <v/>
      </c>
      <c r="BC12" s="26" t="str">
        <f ca="1">IFERROR(IF(LEN(중요_시점3[[#This Row],[요일]])=0,"",IF(AND(BC$7=$E12,$F12=1),중요_시점_표식,"")),"")</f>
        <v/>
      </c>
      <c r="BD12" s="26" t="str">
        <f ca="1">IFERROR(IF(LEN(중요_시점3[[#This Row],[요일]])=0,"",IF(AND(BD$7=$E12,$F12=1),중요_시점_표식,"")),"")</f>
        <v/>
      </c>
      <c r="BE12" s="26" t="str">
        <f ca="1">IFERROR(IF(LEN(중요_시점3[[#This Row],[요일]])=0,"",IF(AND(BE$7=$E12,$F12=1),중요_시점_표식,"")),"")</f>
        <v/>
      </c>
      <c r="BF12" s="26" t="str">
        <f ca="1">IFERROR(IF(LEN(중요_시점3[[#This Row],[요일]])=0,"",IF(AND(BF$7=$E12,$F12=1),중요_시점_표식,"")),"")</f>
        <v/>
      </c>
      <c r="BG12" s="26" t="str">
        <f ca="1">IFERROR(IF(LEN(중요_시점3[[#This Row],[요일]])=0,"",IF(AND(BG$7=$E12,$F12=1),중요_시점_표식,"")),"")</f>
        <v/>
      </c>
      <c r="BH12" s="26" t="str">
        <f ca="1">IFERROR(IF(LEN(중요_시점3[[#This Row],[요일]])=0,"",IF(AND(BH$7=$E12,$F12=1),중요_시점_표식,"")),"")</f>
        <v/>
      </c>
      <c r="BI12" s="26" t="str">
        <f ca="1">IFERROR(IF(LEN(중요_시점3[[#This Row],[요일]])=0,"",IF(AND(BI$7=$E12,$F12=1),중요_시점_표식,"")),"")</f>
        <v/>
      </c>
      <c r="BJ12" s="26" t="str">
        <f ca="1">IFERROR(IF(LEN(중요_시점3[[#This Row],[요일]])=0,"",IF(AND(BJ$7=$E12,$F12=1),중요_시점_표식,"")),"")</f>
        <v/>
      </c>
      <c r="BK12" s="26" t="str">
        <f ca="1">IFERROR(IF(LEN(중요_시점3[[#This Row],[요일]])=0,"",IF(AND(BK$7=$E12,$F12=1),중요_시점_표식,"")),"")</f>
        <v/>
      </c>
    </row>
    <row r="13" spans="1:63" s="1" customFormat="1" ht="30" customHeight="1" outlineLevel="1">
      <c r="A13" s="5"/>
      <c r="B13" s="49" t="s">
        <v>12</v>
      </c>
      <c r="C13" s="13"/>
      <c r="D13" s="81">
        <v>0.5</v>
      </c>
      <c r="E13" s="42">
        <f ca="1">TODAY()-3</f>
        <v>44585</v>
      </c>
      <c r="F13" s="12">
        <v>10</v>
      </c>
      <c r="G13" s="27"/>
      <c r="H13" s="26" t="str">
        <f ca="1">IFERROR(IF(LEN(중요_시점3[[#This Row],[요일]])=0,"",IF(AND(H$7=$E13,$F13=1),중요_시점_표식,"")),"")</f>
        <v/>
      </c>
      <c r="I13" s="26" t="str">
        <f ca="1">IFERROR(IF(LEN(중요_시점3[[#This Row],[요일]])=0,"",IF(AND(I$7=$E13,$F13=1),중요_시점_표식,"")),"")</f>
        <v/>
      </c>
      <c r="J13" s="26" t="str">
        <f ca="1">IFERROR(IF(LEN(중요_시점3[[#This Row],[요일]])=0,"",IF(AND(J$7=$E13,$F13=1),중요_시점_표식,"")),"")</f>
        <v/>
      </c>
      <c r="K13" s="26" t="str">
        <f ca="1">IFERROR(IF(LEN(중요_시점3[[#This Row],[요일]])=0,"",IF(AND(K$7=$E13,$F13=1),중요_시점_표식,"")),"")</f>
        <v/>
      </c>
      <c r="L13" s="26" t="str">
        <f ca="1">IFERROR(IF(LEN(중요_시점3[[#This Row],[요일]])=0,"",IF(AND(L$7=$E13,$F13=1),중요_시점_표식,"")),"")</f>
        <v/>
      </c>
      <c r="M13" s="26" t="str">
        <f ca="1">IFERROR(IF(LEN(중요_시점3[[#This Row],[요일]])=0,"",IF(AND(M$7=$E13,$F13=1),중요_시점_표식,"")),"")</f>
        <v/>
      </c>
      <c r="N13" s="26" t="str">
        <f ca="1">IFERROR(IF(LEN(중요_시점3[[#This Row],[요일]])=0,"",IF(AND(N$7=$E13,$F13=1),중요_시점_표식,"")),"")</f>
        <v/>
      </c>
      <c r="O13" s="26" t="str">
        <f ca="1">IFERROR(IF(LEN(중요_시점3[[#This Row],[요일]])=0,"",IF(AND(O$7=$E13,$F13=1),중요_시점_표식,"")),"")</f>
        <v/>
      </c>
      <c r="P13" s="26" t="str">
        <f ca="1">IFERROR(IF(LEN(중요_시점3[[#This Row],[요일]])=0,"",IF(AND(P$7=$E13,$F13=1),중요_시점_표식,"")),"")</f>
        <v/>
      </c>
      <c r="Q13" s="26" t="str">
        <f ca="1">IFERROR(IF(LEN(중요_시점3[[#This Row],[요일]])=0,"",IF(AND(Q$7=$E13,$F13=1),중요_시점_표식,"")),"")</f>
        <v/>
      </c>
      <c r="R13" s="26" t="str">
        <f ca="1">IFERROR(IF(LEN(중요_시점3[[#This Row],[요일]])=0,"",IF(AND(R$7=$E13,$F13=1),중요_시점_표식,"")),"")</f>
        <v/>
      </c>
      <c r="S13" s="26" t="str">
        <f ca="1">IFERROR(IF(LEN(중요_시점3[[#This Row],[요일]])=0,"",IF(AND(S$7=$E13,$F13=1),중요_시점_표식,"")),"")</f>
        <v/>
      </c>
      <c r="T13" s="26" t="str">
        <f ca="1">IFERROR(IF(LEN(중요_시점3[[#This Row],[요일]])=0,"",IF(AND(T$7=$E13,$F13=1),중요_시점_표식,"")),"")</f>
        <v/>
      </c>
      <c r="U13" s="26" t="str">
        <f ca="1">IFERROR(IF(LEN(중요_시점3[[#This Row],[요일]])=0,"",IF(AND(U$7=$E13,$F13=1),중요_시점_표식,"")),"")</f>
        <v/>
      </c>
      <c r="V13" s="26" t="str">
        <f ca="1">IFERROR(IF(LEN(중요_시점3[[#This Row],[요일]])=0,"",IF(AND(V$7=$E13,$F13=1),중요_시점_표식,"")),"")</f>
        <v/>
      </c>
      <c r="W13" s="26" t="str">
        <f ca="1">IFERROR(IF(LEN(중요_시점3[[#This Row],[요일]])=0,"",IF(AND(W$7=$E13,$F13=1),중요_시점_표식,"")),"")</f>
        <v/>
      </c>
      <c r="X13" s="26" t="str">
        <f ca="1">IFERROR(IF(LEN(중요_시점3[[#This Row],[요일]])=0,"",IF(AND(X$7=$E13,$F13=1),중요_시점_표식,"")),"")</f>
        <v/>
      </c>
      <c r="Y13" s="26" t="str">
        <f ca="1">IFERROR(IF(LEN(중요_시점3[[#This Row],[요일]])=0,"",IF(AND(Y$7=$E13,$F13=1),중요_시점_표식,"")),"")</f>
        <v/>
      </c>
      <c r="Z13" s="26" t="str">
        <f ca="1">IFERROR(IF(LEN(중요_시점3[[#This Row],[요일]])=0,"",IF(AND(Z$7=$E13,$F13=1),중요_시점_표식,"")),"")</f>
        <v/>
      </c>
      <c r="AA13" s="26" t="str">
        <f ca="1">IFERROR(IF(LEN(중요_시점3[[#This Row],[요일]])=0,"",IF(AND(AA$7=$E13,$F13=1),중요_시점_표식,"")),"")</f>
        <v/>
      </c>
      <c r="AB13" s="26" t="str">
        <f ca="1">IFERROR(IF(LEN(중요_시점3[[#This Row],[요일]])=0,"",IF(AND(AB$7=$E13,$F13=1),중요_시점_표식,"")),"")</f>
        <v/>
      </c>
      <c r="AC13" s="26" t="str">
        <f ca="1">IFERROR(IF(LEN(중요_시점3[[#This Row],[요일]])=0,"",IF(AND(AC$7=$E13,$F13=1),중요_시점_표식,"")),"")</f>
        <v/>
      </c>
      <c r="AD13" s="26" t="str">
        <f ca="1">IFERROR(IF(LEN(중요_시점3[[#This Row],[요일]])=0,"",IF(AND(AD$7=$E13,$F13=1),중요_시점_표식,"")),"")</f>
        <v/>
      </c>
      <c r="AE13" s="26" t="str">
        <f ca="1">IFERROR(IF(LEN(중요_시점3[[#This Row],[요일]])=0,"",IF(AND(AE$7=$E13,$F13=1),중요_시점_표식,"")),"")</f>
        <v/>
      </c>
      <c r="AF13" s="26" t="str">
        <f ca="1">IFERROR(IF(LEN(중요_시점3[[#This Row],[요일]])=0,"",IF(AND(AF$7=$E13,$F13=1),중요_시점_표식,"")),"")</f>
        <v/>
      </c>
      <c r="AG13" s="26" t="str">
        <f ca="1">IFERROR(IF(LEN(중요_시점3[[#This Row],[요일]])=0,"",IF(AND(AG$7=$E13,$F13=1),중요_시점_표식,"")),"")</f>
        <v/>
      </c>
      <c r="AH13" s="26" t="str">
        <f ca="1">IFERROR(IF(LEN(중요_시점3[[#This Row],[요일]])=0,"",IF(AND(AH$7=$E13,$F13=1),중요_시점_표식,"")),"")</f>
        <v/>
      </c>
      <c r="AI13" s="26" t="str">
        <f ca="1">IFERROR(IF(LEN(중요_시점3[[#This Row],[요일]])=0,"",IF(AND(AI$7=$E13,$F13=1),중요_시점_표식,"")),"")</f>
        <v/>
      </c>
      <c r="AJ13" s="26" t="str">
        <f ca="1">IFERROR(IF(LEN(중요_시점3[[#This Row],[요일]])=0,"",IF(AND(AJ$7=$E13,$F13=1),중요_시점_표식,"")),"")</f>
        <v/>
      </c>
      <c r="AK13" s="26" t="str">
        <f ca="1">IFERROR(IF(LEN(중요_시점3[[#This Row],[요일]])=0,"",IF(AND(AK$7=$E13,$F13=1),중요_시점_표식,"")),"")</f>
        <v/>
      </c>
      <c r="AL13" s="26" t="str">
        <f ca="1">IFERROR(IF(LEN(중요_시점3[[#This Row],[요일]])=0,"",IF(AND(AL$7=$E13,$F13=1),중요_시점_표식,"")),"")</f>
        <v/>
      </c>
      <c r="AM13" s="26" t="str">
        <f ca="1">IFERROR(IF(LEN(중요_시점3[[#This Row],[요일]])=0,"",IF(AND(AM$7=$E13,$F13=1),중요_시점_표식,"")),"")</f>
        <v/>
      </c>
      <c r="AN13" s="26" t="str">
        <f ca="1">IFERROR(IF(LEN(중요_시점3[[#This Row],[요일]])=0,"",IF(AND(AN$7=$E13,$F13=1),중요_시점_표식,"")),"")</f>
        <v/>
      </c>
      <c r="AO13" s="26" t="str">
        <f ca="1">IFERROR(IF(LEN(중요_시점3[[#This Row],[요일]])=0,"",IF(AND(AO$7=$E13,$F13=1),중요_시점_표식,"")),"")</f>
        <v/>
      </c>
      <c r="AP13" s="26" t="str">
        <f ca="1">IFERROR(IF(LEN(중요_시점3[[#This Row],[요일]])=0,"",IF(AND(AP$7=$E13,$F13=1),중요_시점_표식,"")),"")</f>
        <v/>
      </c>
      <c r="AQ13" s="26" t="str">
        <f ca="1">IFERROR(IF(LEN(중요_시점3[[#This Row],[요일]])=0,"",IF(AND(AQ$7=$E13,$F13=1),중요_시점_표식,"")),"")</f>
        <v/>
      </c>
      <c r="AR13" s="26" t="str">
        <f ca="1">IFERROR(IF(LEN(중요_시점3[[#This Row],[요일]])=0,"",IF(AND(AR$7=$E13,$F13=1),중요_시점_표식,"")),"")</f>
        <v/>
      </c>
      <c r="AS13" s="26" t="str">
        <f ca="1">IFERROR(IF(LEN(중요_시점3[[#This Row],[요일]])=0,"",IF(AND(AS$7=$E13,$F13=1),중요_시점_표식,"")),"")</f>
        <v/>
      </c>
      <c r="AT13" s="26" t="str">
        <f ca="1">IFERROR(IF(LEN(중요_시점3[[#This Row],[요일]])=0,"",IF(AND(AT$7=$E13,$F13=1),중요_시점_표식,"")),"")</f>
        <v/>
      </c>
      <c r="AU13" s="26" t="str">
        <f ca="1">IFERROR(IF(LEN(중요_시점3[[#This Row],[요일]])=0,"",IF(AND(AU$7=$E13,$F13=1),중요_시점_표식,"")),"")</f>
        <v/>
      </c>
      <c r="AV13" s="26" t="str">
        <f ca="1">IFERROR(IF(LEN(중요_시점3[[#This Row],[요일]])=0,"",IF(AND(AV$7=$E13,$F13=1),중요_시점_표식,"")),"")</f>
        <v/>
      </c>
      <c r="AW13" s="26" t="str">
        <f ca="1">IFERROR(IF(LEN(중요_시점3[[#This Row],[요일]])=0,"",IF(AND(AW$7=$E13,$F13=1),중요_시점_표식,"")),"")</f>
        <v/>
      </c>
      <c r="AX13" s="26" t="str">
        <f ca="1">IFERROR(IF(LEN(중요_시점3[[#This Row],[요일]])=0,"",IF(AND(AX$7=$E13,$F13=1),중요_시점_표식,"")),"")</f>
        <v/>
      </c>
      <c r="AY13" s="26" t="str">
        <f ca="1">IFERROR(IF(LEN(중요_시점3[[#This Row],[요일]])=0,"",IF(AND(AY$7=$E13,$F13=1),중요_시점_표식,"")),"")</f>
        <v/>
      </c>
      <c r="AZ13" s="26" t="str">
        <f ca="1">IFERROR(IF(LEN(중요_시점3[[#This Row],[요일]])=0,"",IF(AND(AZ$7=$E13,$F13=1),중요_시점_표식,"")),"")</f>
        <v/>
      </c>
      <c r="BA13" s="26" t="str">
        <f ca="1">IFERROR(IF(LEN(중요_시점3[[#This Row],[요일]])=0,"",IF(AND(BA$7=$E13,$F13=1),중요_시점_표식,"")),"")</f>
        <v/>
      </c>
      <c r="BB13" s="26" t="str">
        <f ca="1">IFERROR(IF(LEN(중요_시점3[[#This Row],[요일]])=0,"",IF(AND(BB$7=$E13,$F13=1),중요_시점_표식,"")),"")</f>
        <v/>
      </c>
      <c r="BC13" s="26" t="str">
        <f ca="1">IFERROR(IF(LEN(중요_시점3[[#This Row],[요일]])=0,"",IF(AND(BC$7=$E13,$F13=1),중요_시점_표식,"")),"")</f>
        <v/>
      </c>
      <c r="BD13" s="26" t="str">
        <f ca="1">IFERROR(IF(LEN(중요_시점3[[#This Row],[요일]])=0,"",IF(AND(BD$7=$E13,$F13=1),중요_시점_표식,"")),"")</f>
        <v/>
      </c>
      <c r="BE13" s="26" t="str">
        <f ca="1">IFERROR(IF(LEN(중요_시점3[[#This Row],[요일]])=0,"",IF(AND(BE$7=$E13,$F13=1),중요_시점_표식,"")),"")</f>
        <v/>
      </c>
      <c r="BF13" s="26" t="str">
        <f ca="1">IFERROR(IF(LEN(중요_시점3[[#This Row],[요일]])=0,"",IF(AND(BF$7=$E13,$F13=1),중요_시점_표식,"")),"")</f>
        <v/>
      </c>
      <c r="BG13" s="26" t="str">
        <f ca="1">IFERROR(IF(LEN(중요_시점3[[#This Row],[요일]])=0,"",IF(AND(BG$7=$E13,$F13=1),중요_시점_표식,"")),"")</f>
        <v/>
      </c>
      <c r="BH13" s="26" t="str">
        <f ca="1">IFERROR(IF(LEN(중요_시점3[[#This Row],[요일]])=0,"",IF(AND(BH$7=$E13,$F13=1),중요_시점_표식,"")),"")</f>
        <v/>
      </c>
      <c r="BI13" s="26" t="str">
        <f ca="1">IFERROR(IF(LEN(중요_시점3[[#This Row],[요일]])=0,"",IF(AND(BI$7=$E13,$F13=1),중요_시점_표식,"")),"")</f>
        <v/>
      </c>
      <c r="BJ13" s="26" t="str">
        <f ca="1">IFERROR(IF(LEN(중요_시점3[[#This Row],[요일]])=0,"",IF(AND(BJ$7=$E13,$F13=1),중요_시점_표식,"")),"")</f>
        <v/>
      </c>
      <c r="BK13" s="26" t="str">
        <f ca="1">IFERROR(IF(LEN(중요_시점3[[#This Row],[요일]])=0,"",IF(AND(BK$7=$E13,$F13=1),중요_시점_표식,"")),"")</f>
        <v/>
      </c>
    </row>
    <row r="14" spans="1:63" s="1" customFormat="1" ht="30" customHeight="1" outlineLevel="1">
      <c r="A14" s="5"/>
      <c r="B14" s="49" t="s">
        <v>13</v>
      </c>
      <c r="C14" s="13"/>
      <c r="D14" s="44"/>
      <c r="E14" s="42">
        <f ca="1">TODAY()+20</f>
        <v>44608</v>
      </c>
      <c r="F14" s="12">
        <v>1</v>
      </c>
      <c r="G14" s="27"/>
      <c r="H14" s="26" t="str">
        <f ca="1">IFERROR(IF(LEN(중요_시점3[[#This Row],[요일]])=0,"",IF(AND(H$7=$E14,$F14=1),중요_시점_표식,"")),"")</f>
        <v/>
      </c>
      <c r="I14" s="26" t="str">
        <f ca="1">IFERROR(IF(LEN(중요_시점3[[#This Row],[요일]])=0,"",IF(AND(I$7=$E14,$F14=1),중요_시점_표식,"")),"")</f>
        <v/>
      </c>
      <c r="J14" s="26" t="str">
        <f ca="1">IFERROR(IF(LEN(중요_시점3[[#This Row],[요일]])=0,"",IF(AND(J$7=$E14,$F14=1),중요_시점_표식,"")),"")</f>
        <v/>
      </c>
      <c r="K14" s="26" t="str">
        <f ca="1">IFERROR(IF(LEN(중요_시점3[[#This Row],[요일]])=0,"",IF(AND(K$7=$E14,$F14=1),중요_시점_표식,"")),"")</f>
        <v/>
      </c>
      <c r="L14" s="26" t="str">
        <f ca="1">IFERROR(IF(LEN(중요_시점3[[#This Row],[요일]])=0,"",IF(AND(L$7=$E14,$F14=1),중요_시점_표식,"")),"")</f>
        <v/>
      </c>
      <c r="M14" s="26" t="str">
        <f ca="1">IFERROR(IF(LEN(중요_시점3[[#This Row],[요일]])=0,"",IF(AND(M$7=$E14,$F14=1),중요_시점_표식,"")),"")</f>
        <v/>
      </c>
      <c r="N14" s="26" t="str">
        <f ca="1">IFERROR(IF(LEN(중요_시점3[[#This Row],[요일]])=0,"",IF(AND(N$7=$E14,$F14=1),중요_시점_표식,"")),"")</f>
        <v/>
      </c>
      <c r="O14" s="26">
        <f ca="1">IFERROR(IF(LEN(중요_시점3[[#This Row],[요일]])=0,"",IF(AND(O$7=$E14,$F14=1),중요_시점_표식,"")),"")</f>
        <v>1</v>
      </c>
      <c r="P14" s="26" t="str">
        <f ca="1">IFERROR(IF(LEN(중요_시점3[[#This Row],[요일]])=0,"",IF(AND(P$7=$E14,$F14=1),중요_시점_표식,"")),"")</f>
        <v/>
      </c>
      <c r="Q14" s="26" t="str">
        <f ca="1">IFERROR(IF(LEN(중요_시점3[[#This Row],[요일]])=0,"",IF(AND(Q$7=$E14,$F14=1),중요_시점_표식,"")),"")</f>
        <v/>
      </c>
      <c r="R14" s="26" t="str">
        <f ca="1">IFERROR(IF(LEN(중요_시점3[[#This Row],[요일]])=0,"",IF(AND(R$7=$E14,$F14=1),중요_시점_표식,"")),"")</f>
        <v/>
      </c>
      <c r="S14" s="26" t="str">
        <f ca="1">IFERROR(IF(LEN(중요_시점3[[#This Row],[요일]])=0,"",IF(AND(S$7=$E14,$F14=1),중요_시점_표식,"")),"")</f>
        <v/>
      </c>
      <c r="T14" s="26" t="str">
        <f ca="1">IFERROR(IF(LEN(중요_시점3[[#This Row],[요일]])=0,"",IF(AND(T$7=$E14,$F14=1),중요_시점_표식,"")),"")</f>
        <v/>
      </c>
      <c r="U14" s="26" t="str">
        <f ca="1">IFERROR(IF(LEN(중요_시점3[[#This Row],[요일]])=0,"",IF(AND(U$7=$E14,$F14=1),중요_시점_표식,"")),"")</f>
        <v/>
      </c>
      <c r="V14" s="26" t="str">
        <f ca="1">IFERROR(IF(LEN(중요_시점3[[#This Row],[요일]])=0,"",IF(AND(V$7=$E14,$F14=1),중요_시점_표식,"")),"")</f>
        <v/>
      </c>
      <c r="W14" s="26" t="str">
        <f ca="1">IFERROR(IF(LEN(중요_시점3[[#This Row],[요일]])=0,"",IF(AND(W$7=$E14,$F14=1),중요_시점_표식,"")),"")</f>
        <v/>
      </c>
      <c r="X14" s="26" t="str">
        <f ca="1">IFERROR(IF(LEN(중요_시점3[[#This Row],[요일]])=0,"",IF(AND(X$7=$E14,$F14=1),중요_시점_표식,"")),"")</f>
        <v/>
      </c>
      <c r="Y14" s="26" t="str">
        <f ca="1">IFERROR(IF(LEN(중요_시점3[[#This Row],[요일]])=0,"",IF(AND(Y$7=$E14,$F14=1),중요_시점_표식,"")),"")</f>
        <v/>
      </c>
      <c r="Z14" s="26" t="str">
        <f ca="1">IFERROR(IF(LEN(중요_시점3[[#This Row],[요일]])=0,"",IF(AND(Z$7=$E14,$F14=1),중요_시점_표식,"")),"")</f>
        <v/>
      </c>
      <c r="AA14" s="26" t="str">
        <f ca="1">IFERROR(IF(LEN(중요_시점3[[#This Row],[요일]])=0,"",IF(AND(AA$7=$E14,$F14=1),중요_시점_표식,"")),"")</f>
        <v/>
      </c>
      <c r="AB14" s="26" t="str">
        <f ca="1">IFERROR(IF(LEN(중요_시점3[[#This Row],[요일]])=0,"",IF(AND(AB$7=$E14,$F14=1),중요_시점_표식,"")),"")</f>
        <v/>
      </c>
      <c r="AC14" s="26" t="str">
        <f ca="1">IFERROR(IF(LEN(중요_시점3[[#This Row],[요일]])=0,"",IF(AND(AC$7=$E14,$F14=1),중요_시점_표식,"")),"")</f>
        <v/>
      </c>
      <c r="AD14" s="26" t="str">
        <f ca="1">IFERROR(IF(LEN(중요_시점3[[#This Row],[요일]])=0,"",IF(AND(AD$7=$E14,$F14=1),중요_시점_표식,"")),"")</f>
        <v/>
      </c>
      <c r="AE14" s="26" t="str">
        <f ca="1">IFERROR(IF(LEN(중요_시점3[[#This Row],[요일]])=0,"",IF(AND(AE$7=$E14,$F14=1),중요_시점_표식,"")),"")</f>
        <v/>
      </c>
      <c r="AF14" s="26" t="str">
        <f ca="1">IFERROR(IF(LEN(중요_시점3[[#This Row],[요일]])=0,"",IF(AND(AF$7=$E14,$F14=1),중요_시점_표식,"")),"")</f>
        <v/>
      </c>
      <c r="AG14" s="26" t="str">
        <f ca="1">IFERROR(IF(LEN(중요_시점3[[#This Row],[요일]])=0,"",IF(AND(AG$7=$E14,$F14=1),중요_시점_표식,"")),"")</f>
        <v/>
      </c>
      <c r="AH14" s="26" t="str">
        <f ca="1">IFERROR(IF(LEN(중요_시점3[[#This Row],[요일]])=0,"",IF(AND(AH$7=$E14,$F14=1),중요_시점_표식,"")),"")</f>
        <v/>
      </c>
      <c r="AI14" s="26" t="str">
        <f ca="1">IFERROR(IF(LEN(중요_시점3[[#This Row],[요일]])=0,"",IF(AND(AI$7=$E14,$F14=1),중요_시점_표식,"")),"")</f>
        <v/>
      </c>
      <c r="AJ14" s="26" t="str">
        <f ca="1">IFERROR(IF(LEN(중요_시점3[[#This Row],[요일]])=0,"",IF(AND(AJ$7=$E14,$F14=1),중요_시점_표식,"")),"")</f>
        <v/>
      </c>
      <c r="AK14" s="26" t="str">
        <f ca="1">IFERROR(IF(LEN(중요_시점3[[#This Row],[요일]])=0,"",IF(AND(AK$7=$E14,$F14=1),중요_시점_표식,"")),"")</f>
        <v/>
      </c>
      <c r="AL14" s="26" t="str">
        <f ca="1">IFERROR(IF(LEN(중요_시점3[[#This Row],[요일]])=0,"",IF(AND(AL$7=$E14,$F14=1),중요_시점_표식,"")),"")</f>
        <v/>
      </c>
      <c r="AM14" s="26" t="str">
        <f ca="1">IFERROR(IF(LEN(중요_시점3[[#This Row],[요일]])=0,"",IF(AND(AM$7=$E14,$F14=1),중요_시점_표식,"")),"")</f>
        <v/>
      </c>
      <c r="AN14" s="26" t="str">
        <f ca="1">IFERROR(IF(LEN(중요_시점3[[#This Row],[요일]])=0,"",IF(AND(AN$7=$E14,$F14=1),중요_시점_표식,"")),"")</f>
        <v/>
      </c>
      <c r="AO14" s="26" t="str">
        <f ca="1">IFERROR(IF(LEN(중요_시점3[[#This Row],[요일]])=0,"",IF(AND(AO$7=$E14,$F14=1),중요_시점_표식,"")),"")</f>
        <v/>
      </c>
      <c r="AP14" s="26" t="str">
        <f ca="1">IFERROR(IF(LEN(중요_시점3[[#This Row],[요일]])=0,"",IF(AND(AP$7=$E14,$F14=1),중요_시점_표식,"")),"")</f>
        <v/>
      </c>
      <c r="AQ14" s="26" t="str">
        <f ca="1">IFERROR(IF(LEN(중요_시점3[[#This Row],[요일]])=0,"",IF(AND(AQ$7=$E14,$F14=1),중요_시점_표식,"")),"")</f>
        <v/>
      </c>
      <c r="AR14" s="26" t="str">
        <f ca="1">IFERROR(IF(LEN(중요_시점3[[#This Row],[요일]])=0,"",IF(AND(AR$7=$E14,$F14=1),중요_시점_표식,"")),"")</f>
        <v/>
      </c>
      <c r="AS14" s="26" t="str">
        <f ca="1">IFERROR(IF(LEN(중요_시점3[[#This Row],[요일]])=0,"",IF(AND(AS$7=$E14,$F14=1),중요_시점_표식,"")),"")</f>
        <v/>
      </c>
      <c r="AT14" s="26" t="str">
        <f ca="1">IFERROR(IF(LEN(중요_시점3[[#This Row],[요일]])=0,"",IF(AND(AT$7=$E14,$F14=1),중요_시점_표식,"")),"")</f>
        <v/>
      </c>
      <c r="AU14" s="26" t="str">
        <f ca="1">IFERROR(IF(LEN(중요_시점3[[#This Row],[요일]])=0,"",IF(AND(AU$7=$E14,$F14=1),중요_시점_표식,"")),"")</f>
        <v/>
      </c>
      <c r="AV14" s="26" t="str">
        <f ca="1">IFERROR(IF(LEN(중요_시점3[[#This Row],[요일]])=0,"",IF(AND(AV$7=$E14,$F14=1),중요_시점_표식,"")),"")</f>
        <v/>
      </c>
      <c r="AW14" s="26" t="str">
        <f ca="1">IFERROR(IF(LEN(중요_시점3[[#This Row],[요일]])=0,"",IF(AND(AW$7=$E14,$F14=1),중요_시점_표식,"")),"")</f>
        <v/>
      </c>
      <c r="AX14" s="26" t="str">
        <f ca="1">IFERROR(IF(LEN(중요_시점3[[#This Row],[요일]])=0,"",IF(AND(AX$7=$E14,$F14=1),중요_시점_표식,"")),"")</f>
        <v/>
      </c>
      <c r="AY14" s="26" t="str">
        <f ca="1">IFERROR(IF(LEN(중요_시점3[[#This Row],[요일]])=0,"",IF(AND(AY$7=$E14,$F14=1),중요_시점_표식,"")),"")</f>
        <v/>
      </c>
      <c r="AZ14" s="26" t="str">
        <f ca="1">IFERROR(IF(LEN(중요_시점3[[#This Row],[요일]])=0,"",IF(AND(AZ$7=$E14,$F14=1),중요_시점_표식,"")),"")</f>
        <v/>
      </c>
      <c r="BA14" s="26" t="str">
        <f ca="1">IFERROR(IF(LEN(중요_시점3[[#This Row],[요일]])=0,"",IF(AND(BA$7=$E14,$F14=1),중요_시점_표식,"")),"")</f>
        <v/>
      </c>
      <c r="BB14" s="26" t="str">
        <f ca="1">IFERROR(IF(LEN(중요_시점3[[#This Row],[요일]])=0,"",IF(AND(BB$7=$E14,$F14=1),중요_시점_표식,"")),"")</f>
        <v/>
      </c>
      <c r="BC14" s="26" t="str">
        <f ca="1">IFERROR(IF(LEN(중요_시점3[[#This Row],[요일]])=0,"",IF(AND(BC$7=$E14,$F14=1),중요_시점_표식,"")),"")</f>
        <v/>
      </c>
      <c r="BD14" s="26" t="str">
        <f ca="1">IFERROR(IF(LEN(중요_시점3[[#This Row],[요일]])=0,"",IF(AND(BD$7=$E14,$F14=1),중요_시점_표식,"")),"")</f>
        <v/>
      </c>
      <c r="BE14" s="26" t="str">
        <f ca="1">IFERROR(IF(LEN(중요_시점3[[#This Row],[요일]])=0,"",IF(AND(BE$7=$E14,$F14=1),중요_시점_표식,"")),"")</f>
        <v/>
      </c>
      <c r="BF14" s="26" t="str">
        <f ca="1">IFERROR(IF(LEN(중요_시점3[[#This Row],[요일]])=0,"",IF(AND(BF$7=$E14,$F14=1),중요_시점_표식,"")),"")</f>
        <v/>
      </c>
      <c r="BG14" s="26" t="str">
        <f ca="1">IFERROR(IF(LEN(중요_시점3[[#This Row],[요일]])=0,"",IF(AND(BG$7=$E14,$F14=1),중요_시점_표식,"")),"")</f>
        <v/>
      </c>
      <c r="BH14" s="26" t="str">
        <f ca="1">IFERROR(IF(LEN(중요_시점3[[#This Row],[요일]])=0,"",IF(AND(BH$7=$E14,$F14=1),중요_시점_표식,"")),"")</f>
        <v/>
      </c>
      <c r="BI14" s="26" t="str">
        <f ca="1">IFERROR(IF(LEN(중요_시점3[[#This Row],[요일]])=0,"",IF(AND(BI$7=$E14,$F14=1),중요_시점_표식,"")),"")</f>
        <v/>
      </c>
      <c r="BJ14" s="26" t="str">
        <f ca="1">IFERROR(IF(LEN(중요_시점3[[#This Row],[요일]])=0,"",IF(AND(BJ$7=$E14,$F14=1),중요_시점_표식,"")),"")</f>
        <v/>
      </c>
      <c r="BK14" s="26" t="str">
        <f ca="1">IFERROR(IF(LEN(중요_시점3[[#This Row],[요일]])=0,"",IF(AND(BK$7=$E14,$F14=1),중요_시점_표식,"")),"")</f>
        <v/>
      </c>
    </row>
    <row r="15" spans="1:63" s="1" customFormat="1" ht="30" customHeight="1" outlineLevel="1">
      <c r="A15" s="5"/>
      <c r="B15" s="49" t="s">
        <v>14</v>
      </c>
      <c r="C15" s="13"/>
      <c r="D15" s="81">
        <v>0.1</v>
      </c>
      <c r="E15" s="42">
        <f ca="1">TODAY()+6</f>
        <v>44594</v>
      </c>
      <c r="F15" s="12">
        <v>6</v>
      </c>
      <c r="G15" s="27"/>
      <c r="H15" s="26" t="str">
        <f ca="1">IFERROR(IF(LEN(중요_시점3[[#This Row],[요일]])=0,"",IF(AND(H$7=$E15,$F15=1),중요_시점_표식,"")),"")</f>
        <v/>
      </c>
      <c r="I15" s="26" t="str">
        <f ca="1">IFERROR(IF(LEN(중요_시점3[[#This Row],[요일]])=0,"",IF(AND(I$7=$E15,$F15=1),중요_시점_표식,"")),"")</f>
        <v/>
      </c>
      <c r="J15" s="26" t="str">
        <f ca="1">IFERROR(IF(LEN(중요_시점3[[#This Row],[요일]])=0,"",IF(AND(J$7=$E15,$F15=1),중요_시점_표식,"")),"")</f>
        <v/>
      </c>
      <c r="K15" s="26" t="str">
        <f ca="1">IFERROR(IF(LEN(중요_시점3[[#This Row],[요일]])=0,"",IF(AND(K$7=$E15,$F15=1),중요_시점_표식,"")),"")</f>
        <v/>
      </c>
      <c r="L15" s="26" t="str">
        <f ca="1">IFERROR(IF(LEN(중요_시점3[[#This Row],[요일]])=0,"",IF(AND(L$7=$E15,$F15=1),중요_시점_표식,"")),"")</f>
        <v/>
      </c>
      <c r="M15" s="26" t="str">
        <f ca="1">IFERROR(IF(LEN(중요_시점3[[#This Row],[요일]])=0,"",IF(AND(M$7=$E15,$F15=1),중요_시점_표식,"")),"")</f>
        <v/>
      </c>
      <c r="N15" s="26" t="str">
        <f ca="1">IFERROR(IF(LEN(중요_시점3[[#This Row],[요일]])=0,"",IF(AND(N$7=$E15,$F15=1),중요_시점_표식,"")),"")</f>
        <v/>
      </c>
      <c r="O15" s="26" t="str">
        <f ca="1">IFERROR(IF(LEN(중요_시점3[[#This Row],[요일]])=0,"",IF(AND(O$7=$E15,$F15=1),중요_시점_표식,"")),"")</f>
        <v/>
      </c>
      <c r="P15" s="26" t="str">
        <f ca="1">IFERROR(IF(LEN(중요_시점3[[#This Row],[요일]])=0,"",IF(AND(P$7=$E15,$F15=1),중요_시점_표식,"")),"")</f>
        <v/>
      </c>
      <c r="Q15" s="26" t="str">
        <f ca="1">IFERROR(IF(LEN(중요_시점3[[#This Row],[요일]])=0,"",IF(AND(Q$7=$E15,$F15=1),중요_시점_표식,"")),"")</f>
        <v/>
      </c>
      <c r="R15" s="26" t="str">
        <f ca="1">IFERROR(IF(LEN(중요_시점3[[#This Row],[요일]])=0,"",IF(AND(R$7=$E15,$F15=1),중요_시점_표식,"")),"")</f>
        <v/>
      </c>
      <c r="S15" s="26" t="str">
        <f ca="1">IFERROR(IF(LEN(중요_시점3[[#This Row],[요일]])=0,"",IF(AND(S$7=$E15,$F15=1),중요_시점_표식,"")),"")</f>
        <v/>
      </c>
      <c r="T15" s="26" t="str">
        <f ca="1">IFERROR(IF(LEN(중요_시점3[[#This Row],[요일]])=0,"",IF(AND(T$7=$E15,$F15=1),중요_시점_표식,"")),"")</f>
        <v/>
      </c>
      <c r="U15" s="26" t="str">
        <f ca="1">IFERROR(IF(LEN(중요_시점3[[#This Row],[요일]])=0,"",IF(AND(U$7=$E15,$F15=1),중요_시점_표식,"")),"")</f>
        <v/>
      </c>
      <c r="V15" s="26" t="str">
        <f ca="1">IFERROR(IF(LEN(중요_시점3[[#This Row],[요일]])=0,"",IF(AND(V$7=$E15,$F15=1),중요_시점_표식,"")),"")</f>
        <v/>
      </c>
      <c r="W15" s="26" t="str">
        <f ca="1">IFERROR(IF(LEN(중요_시점3[[#This Row],[요일]])=0,"",IF(AND(W$7=$E15,$F15=1),중요_시점_표식,"")),"")</f>
        <v/>
      </c>
      <c r="X15" s="26" t="str">
        <f ca="1">IFERROR(IF(LEN(중요_시점3[[#This Row],[요일]])=0,"",IF(AND(X$7=$E15,$F15=1),중요_시점_표식,"")),"")</f>
        <v/>
      </c>
      <c r="Y15" s="26" t="str">
        <f ca="1">IFERROR(IF(LEN(중요_시점3[[#This Row],[요일]])=0,"",IF(AND(Y$7=$E15,$F15=1),중요_시점_표식,"")),"")</f>
        <v/>
      </c>
      <c r="Z15" s="26" t="str">
        <f ca="1">IFERROR(IF(LEN(중요_시점3[[#This Row],[요일]])=0,"",IF(AND(Z$7=$E15,$F15=1),중요_시점_표식,"")),"")</f>
        <v/>
      </c>
      <c r="AA15" s="26" t="str">
        <f ca="1">IFERROR(IF(LEN(중요_시점3[[#This Row],[요일]])=0,"",IF(AND(AA$7=$E15,$F15=1),중요_시점_표식,"")),"")</f>
        <v/>
      </c>
      <c r="AB15" s="26" t="str">
        <f ca="1">IFERROR(IF(LEN(중요_시점3[[#This Row],[요일]])=0,"",IF(AND(AB$7=$E15,$F15=1),중요_시점_표식,"")),"")</f>
        <v/>
      </c>
      <c r="AC15" s="26" t="str">
        <f ca="1">IFERROR(IF(LEN(중요_시점3[[#This Row],[요일]])=0,"",IF(AND(AC$7=$E15,$F15=1),중요_시점_표식,"")),"")</f>
        <v/>
      </c>
      <c r="AD15" s="26" t="str">
        <f ca="1">IFERROR(IF(LEN(중요_시점3[[#This Row],[요일]])=0,"",IF(AND(AD$7=$E15,$F15=1),중요_시점_표식,"")),"")</f>
        <v/>
      </c>
      <c r="AE15" s="26" t="str">
        <f ca="1">IFERROR(IF(LEN(중요_시점3[[#This Row],[요일]])=0,"",IF(AND(AE$7=$E15,$F15=1),중요_시점_표식,"")),"")</f>
        <v/>
      </c>
      <c r="AF15" s="26" t="str">
        <f ca="1">IFERROR(IF(LEN(중요_시점3[[#This Row],[요일]])=0,"",IF(AND(AF$7=$E15,$F15=1),중요_시점_표식,"")),"")</f>
        <v/>
      </c>
      <c r="AG15" s="26" t="str">
        <f ca="1">IFERROR(IF(LEN(중요_시점3[[#This Row],[요일]])=0,"",IF(AND(AG$7=$E15,$F15=1),중요_시점_표식,"")),"")</f>
        <v/>
      </c>
      <c r="AH15" s="26" t="str">
        <f ca="1">IFERROR(IF(LEN(중요_시점3[[#This Row],[요일]])=0,"",IF(AND(AH$7=$E15,$F15=1),중요_시점_표식,"")),"")</f>
        <v/>
      </c>
      <c r="AI15" s="26" t="str">
        <f ca="1">IFERROR(IF(LEN(중요_시점3[[#This Row],[요일]])=0,"",IF(AND(AI$7=$E15,$F15=1),중요_시점_표식,"")),"")</f>
        <v/>
      </c>
      <c r="AJ15" s="26" t="str">
        <f ca="1">IFERROR(IF(LEN(중요_시점3[[#This Row],[요일]])=0,"",IF(AND(AJ$7=$E15,$F15=1),중요_시점_표식,"")),"")</f>
        <v/>
      </c>
      <c r="AK15" s="26" t="str">
        <f ca="1">IFERROR(IF(LEN(중요_시점3[[#This Row],[요일]])=0,"",IF(AND(AK$7=$E15,$F15=1),중요_시점_표식,"")),"")</f>
        <v/>
      </c>
      <c r="AL15" s="26" t="str">
        <f ca="1">IFERROR(IF(LEN(중요_시점3[[#This Row],[요일]])=0,"",IF(AND(AL$7=$E15,$F15=1),중요_시점_표식,"")),"")</f>
        <v/>
      </c>
      <c r="AM15" s="26" t="str">
        <f ca="1">IFERROR(IF(LEN(중요_시점3[[#This Row],[요일]])=0,"",IF(AND(AM$7=$E15,$F15=1),중요_시점_표식,"")),"")</f>
        <v/>
      </c>
      <c r="AN15" s="26" t="str">
        <f ca="1">IFERROR(IF(LEN(중요_시점3[[#This Row],[요일]])=0,"",IF(AND(AN$7=$E15,$F15=1),중요_시점_표식,"")),"")</f>
        <v/>
      </c>
      <c r="AO15" s="26" t="str">
        <f ca="1">IFERROR(IF(LEN(중요_시점3[[#This Row],[요일]])=0,"",IF(AND(AO$7=$E15,$F15=1),중요_시점_표식,"")),"")</f>
        <v/>
      </c>
      <c r="AP15" s="26" t="str">
        <f ca="1">IFERROR(IF(LEN(중요_시점3[[#This Row],[요일]])=0,"",IF(AND(AP$7=$E15,$F15=1),중요_시점_표식,"")),"")</f>
        <v/>
      </c>
      <c r="AQ15" s="26" t="str">
        <f ca="1">IFERROR(IF(LEN(중요_시점3[[#This Row],[요일]])=0,"",IF(AND(AQ$7=$E15,$F15=1),중요_시점_표식,"")),"")</f>
        <v/>
      </c>
      <c r="AR15" s="26" t="str">
        <f ca="1">IFERROR(IF(LEN(중요_시점3[[#This Row],[요일]])=0,"",IF(AND(AR$7=$E15,$F15=1),중요_시점_표식,"")),"")</f>
        <v/>
      </c>
      <c r="AS15" s="26" t="str">
        <f ca="1">IFERROR(IF(LEN(중요_시점3[[#This Row],[요일]])=0,"",IF(AND(AS$7=$E15,$F15=1),중요_시점_표식,"")),"")</f>
        <v/>
      </c>
      <c r="AT15" s="26" t="str">
        <f ca="1">IFERROR(IF(LEN(중요_시점3[[#This Row],[요일]])=0,"",IF(AND(AT$7=$E15,$F15=1),중요_시점_표식,"")),"")</f>
        <v/>
      </c>
      <c r="AU15" s="26" t="str">
        <f ca="1">IFERROR(IF(LEN(중요_시점3[[#This Row],[요일]])=0,"",IF(AND(AU$7=$E15,$F15=1),중요_시점_표식,"")),"")</f>
        <v/>
      </c>
      <c r="AV15" s="26" t="str">
        <f ca="1">IFERROR(IF(LEN(중요_시점3[[#This Row],[요일]])=0,"",IF(AND(AV$7=$E15,$F15=1),중요_시점_표식,"")),"")</f>
        <v/>
      </c>
      <c r="AW15" s="26" t="str">
        <f ca="1">IFERROR(IF(LEN(중요_시점3[[#This Row],[요일]])=0,"",IF(AND(AW$7=$E15,$F15=1),중요_시점_표식,"")),"")</f>
        <v/>
      </c>
      <c r="AX15" s="26" t="str">
        <f ca="1">IFERROR(IF(LEN(중요_시점3[[#This Row],[요일]])=0,"",IF(AND(AX$7=$E15,$F15=1),중요_시점_표식,"")),"")</f>
        <v/>
      </c>
      <c r="AY15" s="26" t="str">
        <f ca="1">IFERROR(IF(LEN(중요_시점3[[#This Row],[요일]])=0,"",IF(AND(AY$7=$E15,$F15=1),중요_시점_표식,"")),"")</f>
        <v/>
      </c>
      <c r="AZ15" s="26" t="str">
        <f ca="1">IFERROR(IF(LEN(중요_시점3[[#This Row],[요일]])=0,"",IF(AND(AZ$7=$E15,$F15=1),중요_시점_표식,"")),"")</f>
        <v/>
      </c>
      <c r="BA15" s="26" t="str">
        <f ca="1">IFERROR(IF(LEN(중요_시점3[[#This Row],[요일]])=0,"",IF(AND(BA$7=$E15,$F15=1),중요_시점_표식,"")),"")</f>
        <v/>
      </c>
      <c r="BB15" s="26" t="str">
        <f ca="1">IFERROR(IF(LEN(중요_시점3[[#This Row],[요일]])=0,"",IF(AND(BB$7=$E15,$F15=1),중요_시점_표식,"")),"")</f>
        <v/>
      </c>
      <c r="BC15" s="26" t="str">
        <f ca="1">IFERROR(IF(LEN(중요_시점3[[#This Row],[요일]])=0,"",IF(AND(BC$7=$E15,$F15=1),중요_시점_표식,"")),"")</f>
        <v/>
      </c>
      <c r="BD15" s="26" t="str">
        <f ca="1">IFERROR(IF(LEN(중요_시점3[[#This Row],[요일]])=0,"",IF(AND(BD$7=$E15,$F15=1),중요_시점_표식,"")),"")</f>
        <v/>
      </c>
      <c r="BE15" s="26" t="str">
        <f ca="1">IFERROR(IF(LEN(중요_시점3[[#This Row],[요일]])=0,"",IF(AND(BE$7=$E15,$F15=1),중요_시점_표식,"")),"")</f>
        <v/>
      </c>
      <c r="BF15" s="26" t="str">
        <f ca="1">IFERROR(IF(LEN(중요_시점3[[#This Row],[요일]])=0,"",IF(AND(BF$7=$E15,$F15=1),중요_시점_표식,"")),"")</f>
        <v/>
      </c>
      <c r="BG15" s="26" t="str">
        <f ca="1">IFERROR(IF(LEN(중요_시점3[[#This Row],[요일]])=0,"",IF(AND(BG$7=$E15,$F15=1),중요_시점_표식,"")),"")</f>
        <v/>
      </c>
      <c r="BH15" s="26" t="str">
        <f ca="1">IFERROR(IF(LEN(중요_시점3[[#This Row],[요일]])=0,"",IF(AND(BH$7=$E15,$F15=1),중요_시점_표식,"")),"")</f>
        <v/>
      </c>
      <c r="BI15" s="26" t="str">
        <f ca="1">IFERROR(IF(LEN(중요_시점3[[#This Row],[요일]])=0,"",IF(AND(BI$7=$E15,$F15=1),중요_시점_표식,"")),"")</f>
        <v/>
      </c>
      <c r="BJ15" s="26" t="str">
        <f ca="1">IFERROR(IF(LEN(중요_시점3[[#This Row],[요일]])=0,"",IF(AND(BJ$7=$E15,$F15=1),중요_시점_표식,"")),"")</f>
        <v/>
      </c>
      <c r="BK15" s="26" t="str">
        <f ca="1">IFERROR(IF(LEN(중요_시점3[[#This Row],[요일]])=0,"",IF(AND(BK$7=$E15,$F15=1),중요_시점_표식,"")),"")</f>
        <v/>
      </c>
    </row>
    <row r="16" spans="1:63" s="1" customFormat="1" ht="30" customHeight="1">
      <c r="A16" s="6"/>
      <c r="B16" s="40" t="s">
        <v>15</v>
      </c>
      <c r="C16" s="13"/>
      <c r="D16" s="44"/>
      <c r="E16" s="42"/>
      <c r="F16" s="12"/>
      <c r="G16" s="27"/>
      <c r="H16" s="26" t="str">
        <f>IFERROR(IF(LEN(중요_시점3[[#This Row],[요일]])=0,"",IF(AND(H$7=$E16,$F16=1),중요_시점_표식,"")),"")</f>
        <v/>
      </c>
      <c r="I16" s="26" t="str">
        <f>IFERROR(IF(LEN(중요_시점3[[#This Row],[요일]])=0,"",IF(AND(I$7=$E16,$F16=1),중요_시점_표식,"")),"")</f>
        <v/>
      </c>
      <c r="J16" s="26" t="str">
        <f>IFERROR(IF(LEN(중요_시점3[[#This Row],[요일]])=0,"",IF(AND(J$7=$E16,$F16=1),중요_시점_표식,"")),"")</f>
        <v/>
      </c>
      <c r="K16" s="26" t="str">
        <f>IFERROR(IF(LEN(중요_시점3[[#This Row],[요일]])=0,"",IF(AND(K$7=$E16,$F16=1),중요_시점_표식,"")),"")</f>
        <v/>
      </c>
      <c r="L16" s="26" t="str">
        <f>IFERROR(IF(LEN(중요_시점3[[#This Row],[요일]])=0,"",IF(AND(L$7=$E16,$F16=1),중요_시점_표식,"")),"")</f>
        <v/>
      </c>
      <c r="M16" s="26" t="str">
        <f>IFERROR(IF(LEN(중요_시점3[[#This Row],[요일]])=0,"",IF(AND(M$7=$E16,$F16=1),중요_시점_표식,"")),"")</f>
        <v/>
      </c>
      <c r="N16" s="26" t="str">
        <f>IFERROR(IF(LEN(중요_시점3[[#This Row],[요일]])=0,"",IF(AND(N$7=$E16,$F16=1),중요_시점_표식,"")),"")</f>
        <v/>
      </c>
      <c r="O16" s="26" t="str">
        <f>IFERROR(IF(LEN(중요_시점3[[#This Row],[요일]])=0,"",IF(AND(O$7=$E16,$F16=1),중요_시점_표식,"")),"")</f>
        <v/>
      </c>
      <c r="P16" s="26" t="str">
        <f>IFERROR(IF(LEN(중요_시점3[[#This Row],[요일]])=0,"",IF(AND(P$7=$E16,$F16=1),중요_시점_표식,"")),"")</f>
        <v/>
      </c>
      <c r="Q16" s="26" t="str">
        <f>IFERROR(IF(LEN(중요_시점3[[#This Row],[요일]])=0,"",IF(AND(Q$7=$E16,$F16=1),중요_시점_표식,"")),"")</f>
        <v/>
      </c>
      <c r="R16" s="26" t="str">
        <f>IFERROR(IF(LEN(중요_시점3[[#This Row],[요일]])=0,"",IF(AND(R$7=$E16,$F16=1),중요_시점_표식,"")),"")</f>
        <v/>
      </c>
      <c r="S16" s="26" t="str">
        <f>IFERROR(IF(LEN(중요_시점3[[#This Row],[요일]])=0,"",IF(AND(S$7=$E16,$F16=1),중요_시점_표식,"")),"")</f>
        <v/>
      </c>
      <c r="T16" s="26" t="str">
        <f>IFERROR(IF(LEN(중요_시점3[[#This Row],[요일]])=0,"",IF(AND(T$7=$E16,$F16=1),중요_시점_표식,"")),"")</f>
        <v/>
      </c>
      <c r="U16" s="26" t="str">
        <f>IFERROR(IF(LEN(중요_시점3[[#This Row],[요일]])=0,"",IF(AND(U$7=$E16,$F16=1),중요_시점_표식,"")),"")</f>
        <v/>
      </c>
      <c r="V16" s="26" t="str">
        <f>IFERROR(IF(LEN(중요_시점3[[#This Row],[요일]])=0,"",IF(AND(V$7=$E16,$F16=1),중요_시점_표식,"")),"")</f>
        <v/>
      </c>
      <c r="W16" s="26" t="str">
        <f>IFERROR(IF(LEN(중요_시점3[[#This Row],[요일]])=0,"",IF(AND(W$7=$E16,$F16=1),중요_시점_표식,"")),"")</f>
        <v/>
      </c>
      <c r="X16" s="26" t="str">
        <f>IFERROR(IF(LEN(중요_시점3[[#This Row],[요일]])=0,"",IF(AND(X$7=$E16,$F16=1),중요_시점_표식,"")),"")</f>
        <v/>
      </c>
      <c r="Y16" s="26" t="str">
        <f>IFERROR(IF(LEN(중요_시점3[[#This Row],[요일]])=0,"",IF(AND(Y$7=$E16,$F16=1),중요_시점_표식,"")),"")</f>
        <v/>
      </c>
      <c r="Z16" s="26" t="str">
        <f>IFERROR(IF(LEN(중요_시점3[[#This Row],[요일]])=0,"",IF(AND(Z$7=$E16,$F16=1),중요_시점_표식,"")),"")</f>
        <v/>
      </c>
      <c r="AA16" s="26" t="str">
        <f>IFERROR(IF(LEN(중요_시점3[[#This Row],[요일]])=0,"",IF(AND(AA$7=$E16,$F16=1),중요_시점_표식,"")),"")</f>
        <v/>
      </c>
      <c r="AB16" s="26" t="str">
        <f>IFERROR(IF(LEN(중요_시점3[[#This Row],[요일]])=0,"",IF(AND(AB$7=$E16,$F16=1),중요_시점_표식,"")),"")</f>
        <v/>
      </c>
      <c r="AC16" s="26" t="str">
        <f>IFERROR(IF(LEN(중요_시점3[[#This Row],[요일]])=0,"",IF(AND(AC$7=$E16,$F16=1),중요_시점_표식,"")),"")</f>
        <v/>
      </c>
      <c r="AD16" s="26" t="str">
        <f>IFERROR(IF(LEN(중요_시점3[[#This Row],[요일]])=0,"",IF(AND(AD$7=$E16,$F16=1),중요_시점_표식,"")),"")</f>
        <v/>
      </c>
      <c r="AE16" s="26" t="str">
        <f>IFERROR(IF(LEN(중요_시점3[[#This Row],[요일]])=0,"",IF(AND(AE$7=$E16,$F16=1),중요_시점_표식,"")),"")</f>
        <v/>
      </c>
      <c r="AF16" s="26" t="str">
        <f>IFERROR(IF(LEN(중요_시점3[[#This Row],[요일]])=0,"",IF(AND(AF$7=$E16,$F16=1),중요_시점_표식,"")),"")</f>
        <v/>
      </c>
      <c r="AG16" s="26" t="str">
        <f>IFERROR(IF(LEN(중요_시점3[[#This Row],[요일]])=0,"",IF(AND(AG$7=$E16,$F16=1),중요_시점_표식,"")),"")</f>
        <v/>
      </c>
      <c r="AH16" s="26" t="str">
        <f>IFERROR(IF(LEN(중요_시점3[[#This Row],[요일]])=0,"",IF(AND(AH$7=$E16,$F16=1),중요_시점_표식,"")),"")</f>
        <v/>
      </c>
      <c r="AI16" s="26" t="str">
        <f>IFERROR(IF(LEN(중요_시점3[[#This Row],[요일]])=0,"",IF(AND(AI$7=$E16,$F16=1),중요_시점_표식,"")),"")</f>
        <v/>
      </c>
      <c r="AJ16" s="26" t="str">
        <f>IFERROR(IF(LEN(중요_시점3[[#This Row],[요일]])=0,"",IF(AND(AJ$7=$E16,$F16=1),중요_시점_표식,"")),"")</f>
        <v/>
      </c>
      <c r="AK16" s="26" t="str">
        <f>IFERROR(IF(LEN(중요_시점3[[#This Row],[요일]])=0,"",IF(AND(AK$7=$E16,$F16=1),중요_시점_표식,"")),"")</f>
        <v/>
      </c>
      <c r="AL16" s="26" t="str">
        <f>IFERROR(IF(LEN(중요_시점3[[#This Row],[요일]])=0,"",IF(AND(AL$7=$E16,$F16=1),중요_시점_표식,"")),"")</f>
        <v/>
      </c>
      <c r="AM16" s="26" t="str">
        <f>IFERROR(IF(LEN(중요_시점3[[#This Row],[요일]])=0,"",IF(AND(AM$7=$E16,$F16=1),중요_시점_표식,"")),"")</f>
        <v/>
      </c>
      <c r="AN16" s="26" t="str">
        <f>IFERROR(IF(LEN(중요_시점3[[#This Row],[요일]])=0,"",IF(AND(AN$7=$E16,$F16=1),중요_시점_표식,"")),"")</f>
        <v/>
      </c>
      <c r="AO16" s="26" t="str">
        <f>IFERROR(IF(LEN(중요_시점3[[#This Row],[요일]])=0,"",IF(AND(AO$7=$E16,$F16=1),중요_시점_표식,"")),"")</f>
        <v/>
      </c>
      <c r="AP16" s="26" t="str">
        <f>IFERROR(IF(LEN(중요_시점3[[#This Row],[요일]])=0,"",IF(AND(AP$7=$E16,$F16=1),중요_시점_표식,"")),"")</f>
        <v/>
      </c>
      <c r="AQ16" s="26" t="str">
        <f>IFERROR(IF(LEN(중요_시점3[[#This Row],[요일]])=0,"",IF(AND(AQ$7=$E16,$F16=1),중요_시점_표식,"")),"")</f>
        <v/>
      </c>
      <c r="AR16" s="26" t="str">
        <f>IFERROR(IF(LEN(중요_시점3[[#This Row],[요일]])=0,"",IF(AND(AR$7=$E16,$F16=1),중요_시점_표식,"")),"")</f>
        <v/>
      </c>
      <c r="AS16" s="26" t="str">
        <f>IFERROR(IF(LEN(중요_시점3[[#This Row],[요일]])=0,"",IF(AND(AS$7=$E16,$F16=1),중요_시점_표식,"")),"")</f>
        <v/>
      </c>
      <c r="AT16" s="26" t="str">
        <f>IFERROR(IF(LEN(중요_시점3[[#This Row],[요일]])=0,"",IF(AND(AT$7=$E16,$F16=1),중요_시점_표식,"")),"")</f>
        <v/>
      </c>
      <c r="AU16" s="26" t="str">
        <f>IFERROR(IF(LEN(중요_시점3[[#This Row],[요일]])=0,"",IF(AND(AU$7=$E16,$F16=1),중요_시점_표식,"")),"")</f>
        <v/>
      </c>
      <c r="AV16" s="26" t="str">
        <f>IFERROR(IF(LEN(중요_시점3[[#This Row],[요일]])=0,"",IF(AND(AV$7=$E16,$F16=1),중요_시점_표식,"")),"")</f>
        <v/>
      </c>
      <c r="AW16" s="26" t="str">
        <f>IFERROR(IF(LEN(중요_시점3[[#This Row],[요일]])=0,"",IF(AND(AW$7=$E16,$F16=1),중요_시점_표식,"")),"")</f>
        <v/>
      </c>
      <c r="AX16" s="26" t="str">
        <f>IFERROR(IF(LEN(중요_시점3[[#This Row],[요일]])=0,"",IF(AND(AX$7=$E16,$F16=1),중요_시점_표식,"")),"")</f>
        <v/>
      </c>
      <c r="AY16" s="26" t="str">
        <f>IFERROR(IF(LEN(중요_시점3[[#This Row],[요일]])=0,"",IF(AND(AY$7=$E16,$F16=1),중요_시점_표식,"")),"")</f>
        <v/>
      </c>
      <c r="AZ16" s="26" t="str">
        <f>IFERROR(IF(LEN(중요_시점3[[#This Row],[요일]])=0,"",IF(AND(AZ$7=$E16,$F16=1),중요_시점_표식,"")),"")</f>
        <v/>
      </c>
      <c r="BA16" s="26" t="str">
        <f>IFERROR(IF(LEN(중요_시점3[[#This Row],[요일]])=0,"",IF(AND(BA$7=$E16,$F16=1),중요_시점_표식,"")),"")</f>
        <v/>
      </c>
      <c r="BB16" s="26" t="str">
        <f>IFERROR(IF(LEN(중요_시점3[[#This Row],[요일]])=0,"",IF(AND(BB$7=$E16,$F16=1),중요_시점_표식,"")),"")</f>
        <v/>
      </c>
      <c r="BC16" s="26" t="str">
        <f>IFERROR(IF(LEN(중요_시점3[[#This Row],[요일]])=0,"",IF(AND(BC$7=$E16,$F16=1),중요_시점_표식,"")),"")</f>
        <v/>
      </c>
      <c r="BD16" s="26" t="str">
        <f>IFERROR(IF(LEN(중요_시점3[[#This Row],[요일]])=0,"",IF(AND(BD$7=$E16,$F16=1),중요_시점_표식,"")),"")</f>
        <v/>
      </c>
      <c r="BE16" s="26" t="str">
        <f>IFERROR(IF(LEN(중요_시점3[[#This Row],[요일]])=0,"",IF(AND(BE$7=$E16,$F16=1),중요_시점_표식,"")),"")</f>
        <v/>
      </c>
      <c r="BF16" s="26" t="str">
        <f>IFERROR(IF(LEN(중요_시점3[[#This Row],[요일]])=0,"",IF(AND(BF$7=$E16,$F16=1),중요_시점_표식,"")),"")</f>
        <v/>
      </c>
      <c r="BG16" s="26" t="str">
        <f>IFERROR(IF(LEN(중요_시점3[[#This Row],[요일]])=0,"",IF(AND(BG$7=$E16,$F16=1),중요_시점_표식,"")),"")</f>
        <v/>
      </c>
      <c r="BH16" s="26" t="str">
        <f>IFERROR(IF(LEN(중요_시점3[[#This Row],[요일]])=0,"",IF(AND(BH$7=$E16,$F16=1),중요_시점_표식,"")),"")</f>
        <v/>
      </c>
      <c r="BI16" s="26" t="str">
        <f>IFERROR(IF(LEN(중요_시점3[[#This Row],[요일]])=0,"",IF(AND(BI$7=$E16,$F16=1),중요_시점_표식,"")),"")</f>
        <v/>
      </c>
      <c r="BJ16" s="26" t="str">
        <f>IFERROR(IF(LEN(중요_시점3[[#This Row],[요일]])=0,"",IF(AND(BJ$7=$E16,$F16=1),중요_시점_표식,"")),"")</f>
        <v/>
      </c>
      <c r="BK16" s="26" t="str">
        <f>IFERROR(IF(LEN(중요_시점3[[#This Row],[요일]])=0,"",IF(AND(BK$7=$E16,$F16=1),중요_시점_표식,"")),"")</f>
        <v/>
      </c>
    </row>
    <row r="17" spans="1:63" s="1" customFormat="1" ht="30" customHeight="1" outlineLevel="1">
      <c r="A17" s="6"/>
      <c r="B17" s="49" t="s">
        <v>10</v>
      </c>
      <c r="C17" s="13"/>
      <c r="D17" s="81">
        <v>0.6</v>
      </c>
      <c r="E17" s="42">
        <f ca="1">TODAY()+6</f>
        <v>44594</v>
      </c>
      <c r="F17" s="12">
        <v>13</v>
      </c>
      <c r="G17" s="27"/>
      <c r="H17" s="26" t="str">
        <f ca="1">IFERROR(IF(LEN(중요_시점3[[#This Row],[요일]])=0,"",IF(AND(H$7=$E17,$F17=1),중요_시점_표식,"")),"")</f>
        <v/>
      </c>
      <c r="I17" s="26" t="str">
        <f ca="1">IFERROR(IF(LEN(중요_시점3[[#This Row],[요일]])=0,"",IF(AND(I$7=$E17,$F17=1),중요_시점_표식,"")),"")</f>
        <v/>
      </c>
      <c r="J17" s="26" t="str">
        <f ca="1">IFERROR(IF(LEN(중요_시점3[[#This Row],[요일]])=0,"",IF(AND(J$7=$E17,$F17=1),중요_시점_표식,"")),"")</f>
        <v/>
      </c>
      <c r="K17" s="26" t="str">
        <f ca="1">IFERROR(IF(LEN(중요_시점3[[#This Row],[요일]])=0,"",IF(AND(K$7=$E17,$F17=1),중요_시점_표식,"")),"")</f>
        <v/>
      </c>
      <c r="L17" s="26" t="str">
        <f ca="1">IFERROR(IF(LEN(중요_시점3[[#This Row],[요일]])=0,"",IF(AND(L$7=$E17,$F17=1),중요_시점_표식,"")),"")</f>
        <v/>
      </c>
      <c r="M17" s="26" t="str">
        <f ca="1">IFERROR(IF(LEN(중요_시점3[[#This Row],[요일]])=0,"",IF(AND(M$7=$E17,$F17=1),중요_시점_표식,"")),"")</f>
        <v/>
      </c>
      <c r="N17" s="26" t="str">
        <f ca="1">IFERROR(IF(LEN(중요_시점3[[#This Row],[요일]])=0,"",IF(AND(N$7=$E17,$F17=1),중요_시점_표식,"")),"")</f>
        <v/>
      </c>
      <c r="O17" s="26" t="str">
        <f ca="1">IFERROR(IF(LEN(중요_시점3[[#This Row],[요일]])=0,"",IF(AND(O$7=$E17,$F17=1),중요_시점_표식,"")),"")</f>
        <v/>
      </c>
      <c r="P17" s="26" t="str">
        <f ca="1">IFERROR(IF(LEN(중요_시점3[[#This Row],[요일]])=0,"",IF(AND(P$7=$E17,$F17=1),중요_시점_표식,"")),"")</f>
        <v/>
      </c>
      <c r="Q17" s="26" t="str">
        <f ca="1">IFERROR(IF(LEN(중요_시점3[[#This Row],[요일]])=0,"",IF(AND(Q$7=$E17,$F17=1),중요_시점_표식,"")),"")</f>
        <v/>
      </c>
      <c r="R17" s="26" t="str">
        <f ca="1">IFERROR(IF(LEN(중요_시점3[[#This Row],[요일]])=0,"",IF(AND(R$7=$E17,$F17=1),중요_시점_표식,"")),"")</f>
        <v/>
      </c>
      <c r="S17" s="26" t="str">
        <f ca="1">IFERROR(IF(LEN(중요_시점3[[#This Row],[요일]])=0,"",IF(AND(S$7=$E17,$F17=1),중요_시점_표식,"")),"")</f>
        <v/>
      </c>
      <c r="T17" s="26" t="str">
        <f ca="1">IFERROR(IF(LEN(중요_시점3[[#This Row],[요일]])=0,"",IF(AND(T$7=$E17,$F17=1),중요_시점_표식,"")),"")</f>
        <v/>
      </c>
      <c r="U17" s="26" t="str">
        <f ca="1">IFERROR(IF(LEN(중요_시점3[[#This Row],[요일]])=0,"",IF(AND(U$7=$E17,$F17=1),중요_시점_표식,"")),"")</f>
        <v/>
      </c>
      <c r="V17" s="26" t="str">
        <f ca="1">IFERROR(IF(LEN(중요_시점3[[#This Row],[요일]])=0,"",IF(AND(V$7=$E17,$F17=1),중요_시점_표식,"")),"")</f>
        <v/>
      </c>
      <c r="W17" s="26" t="str">
        <f ca="1">IFERROR(IF(LEN(중요_시점3[[#This Row],[요일]])=0,"",IF(AND(W$7=$E17,$F17=1),중요_시점_표식,"")),"")</f>
        <v/>
      </c>
      <c r="X17" s="26" t="str">
        <f ca="1">IFERROR(IF(LEN(중요_시점3[[#This Row],[요일]])=0,"",IF(AND(X$7=$E17,$F17=1),중요_시점_표식,"")),"")</f>
        <v/>
      </c>
      <c r="Y17" s="26" t="str">
        <f ca="1">IFERROR(IF(LEN(중요_시점3[[#This Row],[요일]])=0,"",IF(AND(Y$7=$E17,$F17=1),중요_시점_표식,"")),"")</f>
        <v/>
      </c>
      <c r="Z17" s="26" t="str">
        <f ca="1">IFERROR(IF(LEN(중요_시점3[[#This Row],[요일]])=0,"",IF(AND(Z$7=$E17,$F17=1),중요_시점_표식,"")),"")</f>
        <v/>
      </c>
      <c r="AA17" s="26" t="str">
        <f ca="1">IFERROR(IF(LEN(중요_시점3[[#This Row],[요일]])=0,"",IF(AND(AA$7=$E17,$F17=1),중요_시점_표식,"")),"")</f>
        <v/>
      </c>
      <c r="AB17" s="26" t="str">
        <f ca="1">IFERROR(IF(LEN(중요_시점3[[#This Row],[요일]])=0,"",IF(AND(AB$7=$E17,$F17=1),중요_시점_표식,"")),"")</f>
        <v/>
      </c>
      <c r="AC17" s="26" t="str">
        <f ca="1">IFERROR(IF(LEN(중요_시점3[[#This Row],[요일]])=0,"",IF(AND(AC$7=$E17,$F17=1),중요_시점_표식,"")),"")</f>
        <v/>
      </c>
      <c r="AD17" s="26" t="str">
        <f ca="1">IFERROR(IF(LEN(중요_시점3[[#This Row],[요일]])=0,"",IF(AND(AD$7=$E17,$F17=1),중요_시점_표식,"")),"")</f>
        <v/>
      </c>
      <c r="AE17" s="26" t="str">
        <f ca="1">IFERROR(IF(LEN(중요_시점3[[#This Row],[요일]])=0,"",IF(AND(AE$7=$E17,$F17=1),중요_시점_표식,"")),"")</f>
        <v/>
      </c>
      <c r="AF17" s="26" t="str">
        <f ca="1">IFERROR(IF(LEN(중요_시점3[[#This Row],[요일]])=0,"",IF(AND(AF$7=$E17,$F17=1),중요_시점_표식,"")),"")</f>
        <v/>
      </c>
      <c r="AG17" s="26" t="str">
        <f ca="1">IFERROR(IF(LEN(중요_시점3[[#This Row],[요일]])=0,"",IF(AND(AG$7=$E17,$F17=1),중요_시점_표식,"")),"")</f>
        <v/>
      </c>
      <c r="AH17" s="26" t="str">
        <f ca="1">IFERROR(IF(LEN(중요_시점3[[#This Row],[요일]])=0,"",IF(AND(AH$7=$E17,$F17=1),중요_시점_표식,"")),"")</f>
        <v/>
      </c>
      <c r="AI17" s="26" t="str">
        <f ca="1">IFERROR(IF(LEN(중요_시점3[[#This Row],[요일]])=0,"",IF(AND(AI$7=$E17,$F17=1),중요_시점_표식,"")),"")</f>
        <v/>
      </c>
      <c r="AJ17" s="26" t="str">
        <f ca="1">IFERROR(IF(LEN(중요_시점3[[#This Row],[요일]])=0,"",IF(AND(AJ$7=$E17,$F17=1),중요_시점_표식,"")),"")</f>
        <v/>
      </c>
      <c r="AK17" s="26" t="str">
        <f ca="1">IFERROR(IF(LEN(중요_시점3[[#This Row],[요일]])=0,"",IF(AND(AK$7=$E17,$F17=1),중요_시점_표식,"")),"")</f>
        <v/>
      </c>
      <c r="AL17" s="26" t="str">
        <f ca="1">IFERROR(IF(LEN(중요_시점3[[#This Row],[요일]])=0,"",IF(AND(AL$7=$E17,$F17=1),중요_시점_표식,"")),"")</f>
        <v/>
      </c>
      <c r="AM17" s="26" t="str">
        <f ca="1">IFERROR(IF(LEN(중요_시점3[[#This Row],[요일]])=0,"",IF(AND(AM$7=$E17,$F17=1),중요_시점_표식,"")),"")</f>
        <v/>
      </c>
      <c r="AN17" s="26" t="str">
        <f ca="1">IFERROR(IF(LEN(중요_시점3[[#This Row],[요일]])=0,"",IF(AND(AN$7=$E17,$F17=1),중요_시점_표식,"")),"")</f>
        <v/>
      </c>
      <c r="AO17" s="26" t="str">
        <f ca="1">IFERROR(IF(LEN(중요_시점3[[#This Row],[요일]])=0,"",IF(AND(AO$7=$E17,$F17=1),중요_시점_표식,"")),"")</f>
        <v/>
      </c>
      <c r="AP17" s="26" t="str">
        <f ca="1">IFERROR(IF(LEN(중요_시점3[[#This Row],[요일]])=0,"",IF(AND(AP$7=$E17,$F17=1),중요_시점_표식,"")),"")</f>
        <v/>
      </c>
      <c r="AQ17" s="26" t="str">
        <f ca="1">IFERROR(IF(LEN(중요_시점3[[#This Row],[요일]])=0,"",IF(AND(AQ$7=$E17,$F17=1),중요_시점_표식,"")),"")</f>
        <v/>
      </c>
      <c r="AR17" s="26" t="str">
        <f ca="1">IFERROR(IF(LEN(중요_시점3[[#This Row],[요일]])=0,"",IF(AND(AR$7=$E17,$F17=1),중요_시점_표식,"")),"")</f>
        <v/>
      </c>
      <c r="AS17" s="26" t="str">
        <f ca="1">IFERROR(IF(LEN(중요_시점3[[#This Row],[요일]])=0,"",IF(AND(AS$7=$E17,$F17=1),중요_시점_표식,"")),"")</f>
        <v/>
      </c>
      <c r="AT17" s="26" t="str">
        <f ca="1">IFERROR(IF(LEN(중요_시점3[[#This Row],[요일]])=0,"",IF(AND(AT$7=$E17,$F17=1),중요_시점_표식,"")),"")</f>
        <v/>
      </c>
      <c r="AU17" s="26" t="str">
        <f ca="1">IFERROR(IF(LEN(중요_시점3[[#This Row],[요일]])=0,"",IF(AND(AU$7=$E17,$F17=1),중요_시점_표식,"")),"")</f>
        <v/>
      </c>
      <c r="AV17" s="26" t="str">
        <f ca="1">IFERROR(IF(LEN(중요_시점3[[#This Row],[요일]])=0,"",IF(AND(AV$7=$E17,$F17=1),중요_시점_표식,"")),"")</f>
        <v/>
      </c>
      <c r="AW17" s="26" t="str">
        <f ca="1">IFERROR(IF(LEN(중요_시점3[[#This Row],[요일]])=0,"",IF(AND(AW$7=$E17,$F17=1),중요_시점_표식,"")),"")</f>
        <v/>
      </c>
      <c r="AX17" s="26" t="str">
        <f ca="1">IFERROR(IF(LEN(중요_시점3[[#This Row],[요일]])=0,"",IF(AND(AX$7=$E17,$F17=1),중요_시점_표식,"")),"")</f>
        <v/>
      </c>
      <c r="AY17" s="26" t="str">
        <f ca="1">IFERROR(IF(LEN(중요_시점3[[#This Row],[요일]])=0,"",IF(AND(AY$7=$E17,$F17=1),중요_시점_표식,"")),"")</f>
        <v/>
      </c>
      <c r="AZ17" s="26" t="str">
        <f ca="1">IFERROR(IF(LEN(중요_시점3[[#This Row],[요일]])=0,"",IF(AND(AZ$7=$E17,$F17=1),중요_시점_표식,"")),"")</f>
        <v/>
      </c>
      <c r="BA17" s="26" t="str">
        <f ca="1">IFERROR(IF(LEN(중요_시점3[[#This Row],[요일]])=0,"",IF(AND(BA$7=$E17,$F17=1),중요_시점_표식,"")),"")</f>
        <v/>
      </c>
      <c r="BB17" s="26" t="str">
        <f ca="1">IFERROR(IF(LEN(중요_시점3[[#This Row],[요일]])=0,"",IF(AND(BB$7=$E17,$F17=1),중요_시점_표식,"")),"")</f>
        <v/>
      </c>
      <c r="BC17" s="26" t="str">
        <f ca="1">IFERROR(IF(LEN(중요_시점3[[#This Row],[요일]])=0,"",IF(AND(BC$7=$E17,$F17=1),중요_시점_표식,"")),"")</f>
        <v/>
      </c>
      <c r="BD17" s="26" t="str">
        <f ca="1">IFERROR(IF(LEN(중요_시점3[[#This Row],[요일]])=0,"",IF(AND(BD$7=$E17,$F17=1),중요_시점_표식,"")),"")</f>
        <v/>
      </c>
      <c r="BE17" s="26" t="str">
        <f ca="1">IFERROR(IF(LEN(중요_시점3[[#This Row],[요일]])=0,"",IF(AND(BE$7=$E17,$F17=1),중요_시점_표식,"")),"")</f>
        <v/>
      </c>
      <c r="BF17" s="26" t="str">
        <f ca="1">IFERROR(IF(LEN(중요_시점3[[#This Row],[요일]])=0,"",IF(AND(BF$7=$E17,$F17=1),중요_시점_표식,"")),"")</f>
        <v/>
      </c>
      <c r="BG17" s="26" t="str">
        <f ca="1">IFERROR(IF(LEN(중요_시점3[[#This Row],[요일]])=0,"",IF(AND(BG$7=$E17,$F17=1),중요_시점_표식,"")),"")</f>
        <v/>
      </c>
      <c r="BH17" s="26" t="str">
        <f ca="1">IFERROR(IF(LEN(중요_시점3[[#This Row],[요일]])=0,"",IF(AND(BH$7=$E17,$F17=1),중요_시점_표식,"")),"")</f>
        <v/>
      </c>
      <c r="BI17" s="26" t="str">
        <f ca="1">IFERROR(IF(LEN(중요_시점3[[#This Row],[요일]])=0,"",IF(AND(BI$7=$E17,$F17=1),중요_시점_표식,"")),"")</f>
        <v/>
      </c>
      <c r="BJ17" s="26" t="str">
        <f ca="1">IFERROR(IF(LEN(중요_시점3[[#This Row],[요일]])=0,"",IF(AND(BJ$7=$E17,$F17=1),중요_시점_표식,"")),"")</f>
        <v/>
      </c>
      <c r="BK17" s="26" t="str">
        <f ca="1">IFERROR(IF(LEN(중요_시점3[[#This Row],[요일]])=0,"",IF(AND(BK$7=$E17,$F17=1),중요_시점_표식,"")),"")</f>
        <v/>
      </c>
    </row>
    <row r="18" spans="1:63" s="1" customFormat="1" ht="30" customHeight="1" outlineLevel="1">
      <c r="A18" s="5"/>
      <c r="B18" s="49" t="s">
        <v>11</v>
      </c>
      <c r="C18" s="13"/>
      <c r="D18" s="44">
        <v>0.5</v>
      </c>
      <c r="E18" s="42">
        <f ca="1">TODAY()+7</f>
        <v>44595</v>
      </c>
      <c r="F18" s="12">
        <v>9</v>
      </c>
      <c r="G18" s="27"/>
      <c r="H18" s="26" t="str">
        <f ca="1">IFERROR(IF(LEN(중요_시점3[[#This Row],[요일]])=0,"",IF(AND(H$7=$E18,$F18=1),중요_시점_표식,"")),"")</f>
        <v/>
      </c>
      <c r="I18" s="26" t="str">
        <f ca="1">IFERROR(IF(LEN(중요_시점3[[#This Row],[요일]])=0,"",IF(AND(I$7=$E18,$F18=1),중요_시점_표식,"")),"")</f>
        <v/>
      </c>
      <c r="J18" s="26" t="str">
        <f ca="1">IFERROR(IF(LEN(중요_시점3[[#This Row],[요일]])=0,"",IF(AND(J$7=$E18,$F18=1),중요_시점_표식,"")),"")</f>
        <v/>
      </c>
      <c r="K18" s="26" t="str">
        <f ca="1">IFERROR(IF(LEN(중요_시점3[[#This Row],[요일]])=0,"",IF(AND(K$7=$E18,$F18=1),중요_시점_표식,"")),"")</f>
        <v/>
      </c>
      <c r="L18" s="26" t="str">
        <f ca="1">IFERROR(IF(LEN(중요_시점3[[#This Row],[요일]])=0,"",IF(AND(L$7=$E18,$F18=1),중요_시점_표식,"")),"")</f>
        <v/>
      </c>
      <c r="M18" s="26" t="str">
        <f ca="1">IFERROR(IF(LEN(중요_시점3[[#This Row],[요일]])=0,"",IF(AND(M$7=$E18,$F18=1),중요_시점_표식,"")),"")</f>
        <v/>
      </c>
      <c r="N18" s="26" t="str">
        <f ca="1">IFERROR(IF(LEN(중요_시점3[[#This Row],[요일]])=0,"",IF(AND(N$7=$E18,$F18=1),중요_시점_표식,"")),"")</f>
        <v/>
      </c>
      <c r="O18" s="26" t="str">
        <f ca="1">IFERROR(IF(LEN(중요_시점3[[#This Row],[요일]])=0,"",IF(AND(O$7=$E18,$F18=1),중요_시점_표식,"")),"")</f>
        <v/>
      </c>
      <c r="P18" s="26" t="str">
        <f ca="1">IFERROR(IF(LEN(중요_시점3[[#This Row],[요일]])=0,"",IF(AND(P$7=$E18,$F18=1),중요_시점_표식,"")),"")</f>
        <v/>
      </c>
      <c r="Q18" s="26" t="str">
        <f ca="1">IFERROR(IF(LEN(중요_시점3[[#This Row],[요일]])=0,"",IF(AND(Q$7=$E18,$F18=1),중요_시점_표식,"")),"")</f>
        <v/>
      </c>
      <c r="R18" s="26" t="str">
        <f ca="1">IFERROR(IF(LEN(중요_시점3[[#This Row],[요일]])=0,"",IF(AND(R$7=$E18,$F18=1),중요_시점_표식,"")),"")</f>
        <v/>
      </c>
      <c r="S18" s="26" t="str">
        <f ca="1">IFERROR(IF(LEN(중요_시점3[[#This Row],[요일]])=0,"",IF(AND(S$7=$E18,$F18=1),중요_시점_표식,"")),"")</f>
        <v/>
      </c>
      <c r="T18" s="26" t="str">
        <f ca="1">IFERROR(IF(LEN(중요_시점3[[#This Row],[요일]])=0,"",IF(AND(T$7=$E18,$F18=1),중요_시점_표식,"")),"")</f>
        <v/>
      </c>
      <c r="U18" s="26" t="str">
        <f ca="1">IFERROR(IF(LEN(중요_시점3[[#This Row],[요일]])=0,"",IF(AND(U$7=$E18,$F18=1),중요_시점_표식,"")),"")</f>
        <v/>
      </c>
      <c r="V18" s="26" t="str">
        <f ca="1">IFERROR(IF(LEN(중요_시점3[[#This Row],[요일]])=0,"",IF(AND(V$7=$E18,$F18=1),중요_시점_표식,"")),"")</f>
        <v/>
      </c>
      <c r="W18" s="26" t="str">
        <f ca="1">IFERROR(IF(LEN(중요_시점3[[#This Row],[요일]])=0,"",IF(AND(W$7=$E18,$F18=1),중요_시점_표식,"")),"")</f>
        <v/>
      </c>
      <c r="X18" s="26" t="str">
        <f ca="1">IFERROR(IF(LEN(중요_시점3[[#This Row],[요일]])=0,"",IF(AND(X$7=$E18,$F18=1),중요_시점_표식,"")),"")</f>
        <v/>
      </c>
      <c r="Y18" s="26" t="str">
        <f ca="1">IFERROR(IF(LEN(중요_시점3[[#This Row],[요일]])=0,"",IF(AND(Y$7=$E18,$F18=1),중요_시점_표식,"")),"")</f>
        <v/>
      </c>
      <c r="Z18" s="26" t="str">
        <f ca="1">IFERROR(IF(LEN(중요_시점3[[#This Row],[요일]])=0,"",IF(AND(Z$7=$E18,$F18=1),중요_시점_표식,"")),"")</f>
        <v/>
      </c>
      <c r="AA18" s="26" t="str">
        <f ca="1">IFERROR(IF(LEN(중요_시점3[[#This Row],[요일]])=0,"",IF(AND(AA$7=$E18,$F18=1),중요_시점_표식,"")),"")</f>
        <v/>
      </c>
      <c r="AB18" s="26" t="str">
        <f ca="1">IFERROR(IF(LEN(중요_시점3[[#This Row],[요일]])=0,"",IF(AND(AB$7=$E18,$F18=1),중요_시점_표식,"")),"")</f>
        <v/>
      </c>
      <c r="AC18" s="26" t="str">
        <f ca="1">IFERROR(IF(LEN(중요_시점3[[#This Row],[요일]])=0,"",IF(AND(AC$7=$E18,$F18=1),중요_시점_표식,"")),"")</f>
        <v/>
      </c>
      <c r="AD18" s="26" t="str">
        <f ca="1">IFERROR(IF(LEN(중요_시점3[[#This Row],[요일]])=0,"",IF(AND(AD$7=$E18,$F18=1),중요_시점_표식,"")),"")</f>
        <v/>
      </c>
      <c r="AE18" s="26" t="str">
        <f ca="1">IFERROR(IF(LEN(중요_시점3[[#This Row],[요일]])=0,"",IF(AND(AE$7=$E18,$F18=1),중요_시점_표식,"")),"")</f>
        <v/>
      </c>
      <c r="AF18" s="26" t="str">
        <f ca="1">IFERROR(IF(LEN(중요_시점3[[#This Row],[요일]])=0,"",IF(AND(AF$7=$E18,$F18=1),중요_시점_표식,"")),"")</f>
        <v/>
      </c>
      <c r="AG18" s="26" t="str">
        <f ca="1">IFERROR(IF(LEN(중요_시점3[[#This Row],[요일]])=0,"",IF(AND(AG$7=$E18,$F18=1),중요_시점_표식,"")),"")</f>
        <v/>
      </c>
      <c r="AH18" s="26" t="str">
        <f ca="1">IFERROR(IF(LEN(중요_시점3[[#This Row],[요일]])=0,"",IF(AND(AH$7=$E18,$F18=1),중요_시점_표식,"")),"")</f>
        <v/>
      </c>
      <c r="AI18" s="26" t="str">
        <f ca="1">IFERROR(IF(LEN(중요_시점3[[#This Row],[요일]])=0,"",IF(AND(AI$7=$E18,$F18=1),중요_시점_표식,"")),"")</f>
        <v/>
      </c>
      <c r="AJ18" s="26" t="str">
        <f ca="1">IFERROR(IF(LEN(중요_시점3[[#This Row],[요일]])=0,"",IF(AND(AJ$7=$E18,$F18=1),중요_시점_표식,"")),"")</f>
        <v/>
      </c>
      <c r="AK18" s="26" t="str">
        <f ca="1">IFERROR(IF(LEN(중요_시점3[[#This Row],[요일]])=0,"",IF(AND(AK$7=$E18,$F18=1),중요_시점_표식,"")),"")</f>
        <v/>
      </c>
      <c r="AL18" s="26" t="str">
        <f ca="1">IFERROR(IF(LEN(중요_시점3[[#This Row],[요일]])=0,"",IF(AND(AL$7=$E18,$F18=1),중요_시점_표식,"")),"")</f>
        <v/>
      </c>
      <c r="AM18" s="26" t="str">
        <f ca="1">IFERROR(IF(LEN(중요_시점3[[#This Row],[요일]])=0,"",IF(AND(AM$7=$E18,$F18=1),중요_시점_표식,"")),"")</f>
        <v/>
      </c>
      <c r="AN18" s="26" t="str">
        <f ca="1">IFERROR(IF(LEN(중요_시점3[[#This Row],[요일]])=0,"",IF(AND(AN$7=$E18,$F18=1),중요_시점_표식,"")),"")</f>
        <v/>
      </c>
      <c r="AO18" s="26" t="str">
        <f ca="1">IFERROR(IF(LEN(중요_시점3[[#This Row],[요일]])=0,"",IF(AND(AO$7=$E18,$F18=1),중요_시점_표식,"")),"")</f>
        <v/>
      </c>
      <c r="AP18" s="26" t="str">
        <f ca="1">IFERROR(IF(LEN(중요_시점3[[#This Row],[요일]])=0,"",IF(AND(AP$7=$E18,$F18=1),중요_시점_표식,"")),"")</f>
        <v/>
      </c>
      <c r="AQ18" s="26" t="str">
        <f ca="1">IFERROR(IF(LEN(중요_시점3[[#This Row],[요일]])=0,"",IF(AND(AQ$7=$E18,$F18=1),중요_시점_표식,"")),"")</f>
        <v/>
      </c>
      <c r="AR18" s="26" t="str">
        <f ca="1">IFERROR(IF(LEN(중요_시점3[[#This Row],[요일]])=0,"",IF(AND(AR$7=$E18,$F18=1),중요_시점_표식,"")),"")</f>
        <v/>
      </c>
      <c r="AS18" s="26" t="str">
        <f ca="1">IFERROR(IF(LEN(중요_시점3[[#This Row],[요일]])=0,"",IF(AND(AS$7=$E18,$F18=1),중요_시점_표식,"")),"")</f>
        <v/>
      </c>
      <c r="AT18" s="26" t="str">
        <f ca="1">IFERROR(IF(LEN(중요_시점3[[#This Row],[요일]])=0,"",IF(AND(AT$7=$E18,$F18=1),중요_시점_표식,"")),"")</f>
        <v/>
      </c>
      <c r="AU18" s="26" t="str">
        <f ca="1">IFERROR(IF(LEN(중요_시점3[[#This Row],[요일]])=0,"",IF(AND(AU$7=$E18,$F18=1),중요_시점_표식,"")),"")</f>
        <v/>
      </c>
      <c r="AV18" s="26" t="str">
        <f ca="1">IFERROR(IF(LEN(중요_시점3[[#This Row],[요일]])=0,"",IF(AND(AV$7=$E18,$F18=1),중요_시점_표식,"")),"")</f>
        <v/>
      </c>
      <c r="AW18" s="26" t="str">
        <f ca="1">IFERROR(IF(LEN(중요_시점3[[#This Row],[요일]])=0,"",IF(AND(AW$7=$E18,$F18=1),중요_시점_표식,"")),"")</f>
        <v/>
      </c>
      <c r="AX18" s="26" t="str">
        <f ca="1">IFERROR(IF(LEN(중요_시점3[[#This Row],[요일]])=0,"",IF(AND(AX$7=$E18,$F18=1),중요_시점_표식,"")),"")</f>
        <v/>
      </c>
      <c r="AY18" s="26" t="str">
        <f ca="1">IFERROR(IF(LEN(중요_시점3[[#This Row],[요일]])=0,"",IF(AND(AY$7=$E18,$F18=1),중요_시점_표식,"")),"")</f>
        <v/>
      </c>
      <c r="AZ18" s="26" t="str">
        <f ca="1">IFERROR(IF(LEN(중요_시점3[[#This Row],[요일]])=0,"",IF(AND(AZ$7=$E18,$F18=1),중요_시점_표식,"")),"")</f>
        <v/>
      </c>
      <c r="BA18" s="26" t="str">
        <f ca="1">IFERROR(IF(LEN(중요_시점3[[#This Row],[요일]])=0,"",IF(AND(BA$7=$E18,$F18=1),중요_시점_표식,"")),"")</f>
        <v/>
      </c>
      <c r="BB18" s="26" t="str">
        <f ca="1">IFERROR(IF(LEN(중요_시점3[[#This Row],[요일]])=0,"",IF(AND(BB$7=$E18,$F18=1),중요_시점_표식,"")),"")</f>
        <v/>
      </c>
      <c r="BC18" s="26" t="str">
        <f ca="1">IFERROR(IF(LEN(중요_시점3[[#This Row],[요일]])=0,"",IF(AND(BC$7=$E18,$F18=1),중요_시점_표식,"")),"")</f>
        <v/>
      </c>
      <c r="BD18" s="26" t="str">
        <f ca="1">IFERROR(IF(LEN(중요_시점3[[#This Row],[요일]])=0,"",IF(AND(BD$7=$E18,$F18=1),중요_시점_표식,"")),"")</f>
        <v/>
      </c>
      <c r="BE18" s="26" t="str">
        <f ca="1">IFERROR(IF(LEN(중요_시점3[[#This Row],[요일]])=0,"",IF(AND(BE$7=$E18,$F18=1),중요_시점_표식,"")),"")</f>
        <v/>
      </c>
      <c r="BF18" s="26" t="str">
        <f ca="1">IFERROR(IF(LEN(중요_시점3[[#This Row],[요일]])=0,"",IF(AND(BF$7=$E18,$F18=1),중요_시점_표식,"")),"")</f>
        <v/>
      </c>
      <c r="BG18" s="26" t="str">
        <f ca="1">IFERROR(IF(LEN(중요_시점3[[#This Row],[요일]])=0,"",IF(AND(BG$7=$E18,$F18=1),중요_시점_표식,"")),"")</f>
        <v/>
      </c>
      <c r="BH18" s="26" t="str">
        <f ca="1">IFERROR(IF(LEN(중요_시점3[[#This Row],[요일]])=0,"",IF(AND(BH$7=$E18,$F18=1),중요_시점_표식,"")),"")</f>
        <v/>
      </c>
      <c r="BI18" s="26" t="str">
        <f ca="1">IFERROR(IF(LEN(중요_시점3[[#This Row],[요일]])=0,"",IF(AND(BI$7=$E18,$F18=1),중요_시점_표식,"")),"")</f>
        <v/>
      </c>
      <c r="BJ18" s="26" t="str">
        <f ca="1">IFERROR(IF(LEN(중요_시점3[[#This Row],[요일]])=0,"",IF(AND(BJ$7=$E18,$F18=1),중요_시점_표식,"")),"")</f>
        <v/>
      </c>
      <c r="BK18" s="26" t="str">
        <f ca="1">IFERROR(IF(LEN(중요_시점3[[#This Row],[요일]])=0,"",IF(AND(BK$7=$E18,$F18=1),중요_시점_표식,"")),"")</f>
        <v/>
      </c>
    </row>
    <row r="19" spans="1:63" s="1" customFormat="1" ht="30" customHeight="1" outlineLevel="1">
      <c r="A19" s="5"/>
      <c r="B19" s="49" t="s">
        <v>12</v>
      </c>
      <c r="C19" s="13"/>
      <c r="D19" s="81">
        <v>0.33</v>
      </c>
      <c r="E19" s="42">
        <f ca="1">TODAY()+15</f>
        <v>44603</v>
      </c>
      <c r="F19" s="12">
        <v>11</v>
      </c>
      <c r="G19" s="27"/>
      <c r="H19" s="26" t="str">
        <f ca="1">IFERROR(IF(LEN(중요_시점3[[#This Row],[요일]])=0,"",IF(AND(H$7=$E19,$F19=1),중요_시점_표식,"")),"")</f>
        <v/>
      </c>
      <c r="I19" s="26" t="str">
        <f ca="1">IFERROR(IF(LEN(중요_시점3[[#This Row],[요일]])=0,"",IF(AND(I$7=$E19,$F19=1),중요_시점_표식,"")),"")</f>
        <v/>
      </c>
      <c r="J19" s="26" t="str">
        <f ca="1">IFERROR(IF(LEN(중요_시점3[[#This Row],[요일]])=0,"",IF(AND(J$7=$E19,$F19=1),중요_시점_표식,"")),"")</f>
        <v/>
      </c>
      <c r="K19" s="26" t="str">
        <f ca="1">IFERROR(IF(LEN(중요_시점3[[#This Row],[요일]])=0,"",IF(AND(K$7=$E19,$F19=1),중요_시점_표식,"")),"")</f>
        <v/>
      </c>
      <c r="L19" s="26" t="str">
        <f ca="1">IFERROR(IF(LEN(중요_시점3[[#This Row],[요일]])=0,"",IF(AND(L$7=$E19,$F19=1),중요_시점_표식,"")),"")</f>
        <v/>
      </c>
      <c r="M19" s="26" t="str">
        <f ca="1">IFERROR(IF(LEN(중요_시점3[[#This Row],[요일]])=0,"",IF(AND(M$7=$E19,$F19=1),중요_시점_표식,"")),"")</f>
        <v/>
      </c>
      <c r="N19" s="26" t="str">
        <f ca="1">IFERROR(IF(LEN(중요_시점3[[#This Row],[요일]])=0,"",IF(AND(N$7=$E19,$F19=1),중요_시점_표식,"")),"")</f>
        <v/>
      </c>
      <c r="O19" s="26" t="str">
        <f ca="1">IFERROR(IF(LEN(중요_시점3[[#This Row],[요일]])=0,"",IF(AND(O$7=$E19,$F19=1),중요_시점_표식,"")),"")</f>
        <v/>
      </c>
      <c r="P19" s="26" t="str">
        <f ca="1">IFERROR(IF(LEN(중요_시점3[[#This Row],[요일]])=0,"",IF(AND(P$7=$E19,$F19=1),중요_시점_표식,"")),"")</f>
        <v/>
      </c>
      <c r="Q19" s="26" t="str">
        <f ca="1">IFERROR(IF(LEN(중요_시점3[[#This Row],[요일]])=0,"",IF(AND(Q$7=$E19,$F19=1),중요_시점_표식,"")),"")</f>
        <v/>
      </c>
      <c r="R19" s="26" t="str">
        <f ca="1">IFERROR(IF(LEN(중요_시점3[[#This Row],[요일]])=0,"",IF(AND(R$7=$E19,$F19=1),중요_시점_표식,"")),"")</f>
        <v/>
      </c>
      <c r="S19" s="26" t="str">
        <f ca="1">IFERROR(IF(LEN(중요_시점3[[#This Row],[요일]])=0,"",IF(AND(S$7=$E19,$F19=1),중요_시점_표식,"")),"")</f>
        <v/>
      </c>
      <c r="T19" s="26" t="str">
        <f ca="1">IFERROR(IF(LEN(중요_시점3[[#This Row],[요일]])=0,"",IF(AND(T$7=$E19,$F19=1),중요_시점_표식,"")),"")</f>
        <v/>
      </c>
      <c r="U19" s="26" t="str">
        <f ca="1">IFERROR(IF(LEN(중요_시점3[[#This Row],[요일]])=0,"",IF(AND(U$7=$E19,$F19=1),중요_시점_표식,"")),"")</f>
        <v/>
      </c>
      <c r="V19" s="26" t="str">
        <f ca="1">IFERROR(IF(LEN(중요_시점3[[#This Row],[요일]])=0,"",IF(AND(V$7=$E19,$F19=1),중요_시점_표식,"")),"")</f>
        <v/>
      </c>
      <c r="W19" s="26" t="str">
        <f ca="1">IFERROR(IF(LEN(중요_시점3[[#This Row],[요일]])=0,"",IF(AND(W$7=$E19,$F19=1),중요_시점_표식,"")),"")</f>
        <v/>
      </c>
      <c r="X19" s="26" t="str">
        <f ca="1">IFERROR(IF(LEN(중요_시점3[[#This Row],[요일]])=0,"",IF(AND(X$7=$E19,$F19=1),중요_시점_표식,"")),"")</f>
        <v/>
      </c>
      <c r="Y19" s="26" t="str">
        <f ca="1">IFERROR(IF(LEN(중요_시점3[[#This Row],[요일]])=0,"",IF(AND(Y$7=$E19,$F19=1),중요_시점_표식,"")),"")</f>
        <v/>
      </c>
      <c r="Z19" s="26" t="str">
        <f ca="1">IFERROR(IF(LEN(중요_시점3[[#This Row],[요일]])=0,"",IF(AND(Z$7=$E19,$F19=1),중요_시점_표식,"")),"")</f>
        <v/>
      </c>
      <c r="AA19" s="26" t="str">
        <f ca="1">IFERROR(IF(LEN(중요_시점3[[#This Row],[요일]])=0,"",IF(AND(AA$7=$E19,$F19=1),중요_시점_표식,"")),"")</f>
        <v/>
      </c>
      <c r="AB19" s="26" t="str">
        <f ca="1">IFERROR(IF(LEN(중요_시점3[[#This Row],[요일]])=0,"",IF(AND(AB$7=$E19,$F19=1),중요_시점_표식,"")),"")</f>
        <v/>
      </c>
      <c r="AC19" s="26" t="str">
        <f ca="1">IFERROR(IF(LEN(중요_시점3[[#This Row],[요일]])=0,"",IF(AND(AC$7=$E19,$F19=1),중요_시점_표식,"")),"")</f>
        <v/>
      </c>
      <c r="AD19" s="26" t="str">
        <f ca="1">IFERROR(IF(LEN(중요_시점3[[#This Row],[요일]])=0,"",IF(AND(AD$7=$E19,$F19=1),중요_시점_표식,"")),"")</f>
        <v/>
      </c>
      <c r="AE19" s="26" t="str">
        <f ca="1">IFERROR(IF(LEN(중요_시점3[[#This Row],[요일]])=0,"",IF(AND(AE$7=$E19,$F19=1),중요_시점_표식,"")),"")</f>
        <v/>
      </c>
      <c r="AF19" s="26" t="str">
        <f ca="1">IFERROR(IF(LEN(중요_시점3[[#This Row],[요일]])=0,"",IF(AND(AF$7=$E19,$F19=1),중요_시점_표식,"")),"")</f>
        <v/>
      </c>
      <c r="AG19" s="26" t="str">
        <f ca="1">IFERROR(IF(LEN(중요_시점3[[#This Row],[요일]])=0,"",IF(AND(AG$7=$E19,$F19=1),중요_시점_표식,"")),"")</f>
        <v/>
      </c>
      <c r="AH19" s="26" t="str">
        <f ca="1">IFERROR(IF(LEN(중요_시점3[[#This Row],[요일]])=0,"",IF(AND(AH$7=$E19,$F19=1),중요_시점_표식,"")),"")</f>
        <v/>
      </c>
      <c r="AI19" s="26" t="str">
        <f ca="1">IFERROR(IF(LEN(중요_시점3[[#This Row],[요일]])=0,"",IF(AND(AI$7=$E19,$F19=1),중요_시점_표식,"")),"")</f>
        <v/>
      </c>
      <c r="AJ19" s="26" t="str">
        <f ca="1">IFERROR(IF(LEN(중요_시점3[[#This Row],[요일]])=0,"",IF(AND(AJ$7=$E19,$F19=1),중요_시점_표식,"")),"")</f>
        <v/>
      </c>
      <c r="AK19" s="26" t="str">
        <f ca="1">IFERROR(IF(LEN(중요_시점3[[#This Row],[요일]])=0,"",IF(AND(AK$7=$E19,$F19=1),중요_시점_표식,"")),"")</f>
        <v/>
      </c>
      <c r="AL19" s="26" t="str">
        <f ca="1">IFERROR(IF(LEN(중요_시점3[[#This Row],[요일]])=0,"",IF(AND(AL$7=$E19,$F19=1),중요_시점_표식,"")),"")</f>
        <v/>
      </c>
      <c r="AM19" s="26" t="str">
        <f ca="1">IFERROR(IF(LEN(중요_시점3[[#This Row],[요일]])=0,"",IF(AND(AM$7=$E19,$F19=1),중요_시점_표식,"")),"")</f>
        <v/>
      </c>
      <c r="AN19" s="26" t="str">
        <f ca="1">IFERROR(IF(LEN(중요_시점3[[#This Row],[요일]])=0,"",IF(AND(AN$7=$E19,$F19=1),중요_시점_표식,"")),"")</f>
        <v/>
      </c>
      <c r="AO19" s="26" t="str">
        <f ca="1">IFERROR(IF(LEN(중요_시점3[[#This Row],[요일]])=0,"",IF(AND(AO$7=$E19,$F19=1),중요_시점_표식,"")),"")</f>
        <v/>
      </c>
      <c r="AP19" s="26" t="str">
        <f ca="1">IFERROR(IF(LEN(중요_시점3[[#This Row],[요일]])=0,"",IF(AND(AP$7=$E19,$F19=1),중요_시점_표식,"")),"")</f>
        <v/>
      </c>
      <c r="AQ19" s="26" t="str">
        <f ca="1">IFERROR(IF(LEN(중요_시점3[[#This Row],[요일]])=0,"",IF(AND(AQ$7=$E19,$F19=1),중요_시점_표식,"")),"")</f>
        <v/>
      </c>
      <c r="AR19" s="26" t="str">
        <f ca="1">IFERROR(IF(LEN(중요_시점3[[#This Row],[요일]])=0,"",IF(AND(AR$7=$E19,$F19=1),중요_시점_표식,"")),"")</f>
        <v/>
      </c>
      <c r="AS19" s="26" t="str">
        <f ca="1">IFERROR(IF(LEN(중요_시점3[[#This Row],[요일]])=0,"",IF(AND(AS$7=$E19,$F19=1),중요_시점_표식,"")),"")</f>
        <v/>
      </c>
      <c r="AT19" s="26" t="str">
        <f ca="1">IFERROR(IF(LEN(중요_시점3[[#This Row],[요일]])=0,"",IF(AND(AT$7=$E19,$F19=1),중요_시점_표식,"")),"")</f>
        <v/>
      </c>
      <c r="AU19" s="26" t="str">
        <f ca="1">IFERROR(IF(LEN(중요_시점3[[#This Row],[요일]])=0,"",IF(AND(AU$7=$E19,$F19=1),중요_시점_표식,"")),"")</f>
        <v/>
      </c>
      <c r="AV19" s="26" t="str">
        <f ca="1">IFERROR(IF(LEN(중요_시점3[[#This Row],[요일]])=0,"",IF(AND(AV$7=$E19,$F19=1),중요_시점_표식,"")),"")</f>
        <v/>
      </c>
      <c r="AW19" s="26" t="str">
        <f ca="1">IFERROR(IF(LEN(중요_시점3[[#This Row],[요일]])=0,"",IF(AND(AW$7=$E19,$F19=1),중요_시점_표식,"")),"")</f>
        <v/>
      </c>
      <c r="AX19" s="26" t="str">
        <f ca="1">IFERROR(IF(LEN(중요_시점3[[#This Row],[요일]])=0,"",IF(AND(AX$7=$E19,$F19=1),중요_시점_표식,"")),"")</f>
        <v/>
      </c>
      <c r="AY19" s="26" t="str">
        <f ca="1">IFERROR(IF(LEN(중요_시점3[[#This Row],[요일]])=0,"",IF(AND(AY$7=$E19,$F19=1),중요_시점_표식,"")),"")</f>
        <v/>
      </c>
      <c r="AZ19" s="26" t="str">
        <f ca="1">IFERROR(IF(LEN(중요_시점3[[#This Row],[요일]])=0,"",IF(AND(AZ$7=$E19,$F19=1),중요_시점_표식,"")),"")</f>
        <v/>
      </c>
      <c r="BA19" s="26" t="str">
        <f ca="1">IFERROR(IF(LEN(중요_시점3[[#This Row],[요일]])=0,"",IF(AND(BA$7=$E19,$F19=1),중요_시점_표식,"")),"")</f>
        <v/>
      </c>
      <c r="BB19" s="26" t="str">
        <f ca="1">IFERROR(IF(LEN(중요_시점3[[#This Row],[요일]])=0,"",IF(AND(BB$7=$E19,$F19=1),중요_시점_표식,"")),"")</f>
        <v/>
      </c>
      <c r="BC19" s="26" t="str">
        <f ca="1">IFERROR(IF(LEN(중요_시점3[[#This Row],[요일]])=0,"",IF(AND(BC$7=$E19,$F19=1),중요_시점_표식,"")),"")</f>
        <v/>
      </c>
      <c r="BD19" s="26" t="str">
        <f ca="1">IFERROR(IF(LEN(중요_시점3[[#This Row],[요일]])=0,"",IF(AND(BD$7=$E19,$F19=1),중요_시점_표식,"")),"")</f>
        <v/>
      </c>
      <c r="BE19" s="26" t="str">
        <f ca="1">IFERROR(IF(LEN(중요_시점3[[#This Row],[요일]])=0,"",IF(AND(BE$7=$E19,$F19=1),중요_시점_표식,"")),"")</f>
        <v/>
      </c>
      <c r="BF19" s="26" t="str">
        <f ca="1">IFERROR(IF(LEN(중요_시점3[[#This Row],[요일]])=0,"",IF(AND(BF$7=$E19,$F19=1),중요_시점_표식,"")),"")</f>
        <v/>
      </c>
      <c r="BG19" s="26" t="str">
        <f ca="1">IFERROR(IF(LEN(중요_시점3[[#This Row],[요일]])=0,"",IF(AND(BG$7=$E19,$F19=1),중요_시점_표식,"")),"")</f>
        <v/>
      </c>
      <c r="BH19" s="26" t="str">
        <f ca="1">IFERROR(IF(LEN(중요_시점3[[#This Row],[요일]])=0,"",IF(AND(BH$7=$E19,$F19=1),중요_시점_표식,"")),"")</f>
        <v/>
      </c>
      <c r="BI19" s="26" t="str">
        <f ca="1">IFERROR(IF(LEN(중요_시점3[[#This Row],[요일]])=0,"",IF(AND(BI$7=$E19,$F19=1),중요_시점_표식,"")),"")</f>
        <v/>
      </c>
      <c r="BJ19" s="26" t="str">
        <f ca="1">IFERROR(IF(LEN(중요_시점3[[#This Row],[요일]])=0,"",IF(AND(BJ$7=$E19,$F19=1),중요_시점_표식,"")),"")</f>
        <v/>
      </c>
      <c r="BK19" s="26" t="str">
        <f ca="1">IFERROR(IF(LEN(중요_시점3[[#This Row],[요일]])=0,"",IF(AND(BK$7=$E19,$F19=1),중요_시점_표식,"")),"")</f>
        <v/>
      </c>
    </row>
    <row r="20" spans="1:63" s="1" customFormat="1" ht="30" customHeight="1" outlineLevel="1">
      <c r="A20" s="5"/>
      <c r="B20" s="49" t="s">
        <v>13</v>
      </c>
      <c r="C20" s="13"/>
      <c r="D20" s="44"/>
      <c r="E20" s="42">
        <f ca="1">TODAY()+24</f>
        <v>44612</v>
      </c>
      <c r="F20" s="12">
        <v>1</v>
      </c>
      <c r="G20" s="27"/>
      <c r="H20" s="26" t="str">
        <f ca="1">IFERROR(IF(LEN(중요_시점3[[#This Row],[요일]])=0,"",IF(AND(H$7=$E20,$F20=1),중요_시점_표식,"")),"")</f>
        <v/>
      </c>
      <c r="I20" s="26" t="str">
        <f ca="1">IFERROR(IF(LEN(중요_시점3[[#This Row],[요일]])=0,"",IF(AND(I$7=$E20,$F20=1),중요_시점_표식,"")),"")</f>
        <v/>
      </c>
      <c r="J20" s="26" t="str">
        <f ca="1">IFERROR(IF(LEN(중요_시점3[[#This Row],[요일]])=0,"",IF(AND(J$7=$E20,$F20=1),중요_시점_표식,"")),"")</f>
        <v/>
      </c>
      <c r="K20" s="26" t="str">
        <f ca="1">IFERROR(IF(LEN(중요_시점3[[#This Row],[요일]])=0,"",IF(AND(K$7=$E20,$F20=1),중요_시점_표식,"")),"")</f>
        <v/>
      </c>
      <c r="L20" s="26" t="str">
        <f ca="1">IFERROR(IF(LEN(중요_시점3[[#This Row],[요일]])=0,"",IF(AND(L$7=$E20,$F20=1),중요_시점_표식,"")),"")</f>
        <v/>
      </c>
      <c r="M20" s="26" t="str">
        <f ca="1">IFERROR(IF(LEN(중요_시점3[[#This Row],[요일]])=0,"",IF(AND(M$7=$E20,$F20=1),중요_시점_표식,"")),"")</f>
        <v/>
      </c>
      <c r="N20" s="26" t="str">
        <f ca="1">IFERROR(IF(LEN(중요_시점3[[#This Row],[요일]])=0,"",IF(AND(N$7=$E20,$F20=1),중요_시점_표식,"")),"")</f>
        <v/>
      </c>
      <c r="O20" s="26" t="str">
        <f ca="1">IFERROR(IF(LEN(중요_시점3[[#This Row],[요일]])=0,"",IF(AND(O$7=$E20,$F20=1),중요_시점_표식,"")),"")</f>
        <v/>
      </c>
      <c r="P20" s="26" t="str">
        <f ca="1">IFERROR(IF(LEN(중요_시점3[[#This Row],[요일]])=0,"",IF(AND(P$7=$E20,$F20=1),중요_시점_표식,"")),"")</f>
        <v/>
      </c>
      <c r="Q20" s="26" t="str">
        <f ca="1">IFERROR(IF(LEN(중요_시점3[[#This Row],[요일]])=0,"",IF(AND(Q$7=$E20,$F20=1),중요_시점_표식,"")),"")</f>
        <v/>
      </c>
      <c r="R20" s="26" t="str">
        <f ca="1">IFERROR(IF(LEN(중요_시점3[[#This Row],[요일]])=0,"",IF(AND(R$7=$E20,$F20=1),중요_시점_표식,"")),"")</f>
        <v/>
      </c>
      <c r="S20" s="26">
        <f ca="1">IFERROR(IF(LEN(중요_시점3[[#This Row],[요일]])=0,"",IF(AND(S$7=$E20,$F20=1),중요_시점_표식,"")),"")</f>
        <v>1</v>
      </c>
      <c r="T20" s="26" t="str">
        <f ca="1">IFERROR(IF(LEN(중요_시점3[[#This Row],[요일]])=0,"",IF(AND(T$7=$E20,$F20=1),중요_시점_표식,"")),"")</f>
        <v/>
      </c>
      <c r="U20" s="26" t="str">
        <f ca="1">IFERROR(IF(LEN(중요_시점3[[#This Row],[요일]])=0,"",IF(AND(U$7=$E20,$F20=1),중요_시점_표식,"")),"")</f>
        <v/>
      </c>
      <c r="V20" s="26" t="str">
        <f ca="1">IFERROR(IF(LEN(중요_시점3[[#This Row],[요일]])=0,"",IF(AND(V$7=$E20,$F20=1),중요_시점_표식,"")),"")</f>
        <v/>
      </c>
      <c r="W20" s="26" t="str">
        <f ca="1">IFERROR(IF(LEN(중요_시점3[[#This Row],[요일]])=0,"",IF(AND(W$7=$E20,$F20=1),중요_시점_표식,"")),"")</f>
        <v/>
      </c>
      <c r="X20" s="26" t="str">
        <f ca="1">IFERROR(IF(LEN(중요_시점3[[#This Row],[요일]])=0,"",IF(AND(X$7=$E20,$F20=1),중요_시점_표식,"")),"")</f>
        <v/>
      </c>
      <c r="Y20" s="26" t="str">
        <f ca="1">IFERROR(IF(LEN(중요_시점3[[#This Row],[요일]])=0,"",IF(AND(Y$7=$E20,$F20=1),중요_시점_표식,"")),"")</f>
        <v/>
      </c>
      <c r="Z20" s="26" t="str">
        <f ca="1">IFERROR(IF(LEN(중요_시점3[[#This Row],[요일]])=0,"",IF(AND(Z$7=$E20,$F20=1),중요_시점_표식,"")),"")</f>
        <v/>
      </c>
      <c r="AA20" s="26" t="str">
        <f ca="1">IFERROR(IF(LEN(중요_시점3[[#This Row],[요일]])=0,"",IF(AND(AA$7=$E20,$F20=1),중요_시점_표식,"")),"")</f>
        <v/>
      </c>
      <c r="AB20" s="26" t="str">
        <f ca="1">IFERROR(IF(LEN(중요_시점3[[#This Row],[요일]])=0,"",IF(AND(AB$7=$E20,$F20=1),중요_시점_표식,"")),"")</f>
        <v/>
      </c>
      <c r="AC20" s="26" t="str">
        <f ca="1">IFERROR(IF(LEN(중요_시점3[[#This Row],[요일]])=0,"",IF(AND(AC$7=$E20,$F20=1),중요_시점_표식,"")),"")</f>
        <v/>
      </c>
      <c r="AD20" s="26" t="str">
        <f ca="1">IFERROR(IF(LEN(중요_시점3[[#This Row],[요일]])=0,"",IF(AND(AD$7=$E20,$F20=1),중요_시점_표식,"")),"")</f>
        <v/>
      </c>
      <c r="AE20" s="26" t="str">
        <f ca="1">IFERROR(IF(LEN(중요_시점3[[#This Row],[요일]])=0,"",IF(AND(AE$7=$E20,$F20=1),중요_시점_표식,"")),"")</f>
        <v/>
      </c>
      <c r="AF20" s="26" t="str">
        <f ca="1">IFERROR(IF(LEN(중요_시점3[[#This Row],[요일]])=0,"",IF(AND(AF$7=$E20,$F20=1),중요_시점_표식,"")),"")</f>
        <v/>
      </c>
      <c r="AG20" s="26" t="str">
        <f ca="1">IFERROR(IF(LEN(중요_시점3[[#This Row],[요일]])=0,"",IF(AND(AG$7=$E20,$F20=1),중요_시점_표식,"")),"")</f>
        <v/>
      </c>
      <c r="AH20" s="26" t="str">
        <f ca="1">IFERROR(IF(LEN(중요_시점3[[#This Row],[요일]])=0,"",IF(AND(AH$7=$E20,$F20=1),중요_시점_표식,"")),"")</f>
        <v/>
      </c>
      <c r="AI20" s="26" t="str">
        <f ca="1">IFERROR(IF(LEN(중요_시점3[[#This Row],[요일]])=0,"",IF(AND(AI$7=$E20,$F20=1),중요_시점_표식,"")),"")</f>
        <v/>
      </c>
      <c r="AJ20" s="26" t="str">
        <f ca="1">IFERROR(IF(LEN(중요_시점3[[#This Row],[요일]])=0,"",IF(AND(AJ$7=$E20,$F20=1),중요_시점_표식,"")),"")</f>
        <v/>
      </c>
      <c r="AK20" s="26" t="str">
        <f ca="1">IFERROR(IF(LEN(중요_시점3[[#This Row],[요일]])=0,"",IF(AND(AK$7=$E20,$F20=1),중요_시점_표식,"")),"")</f>
        <v/>
      </c>
      <c r="AL20" s="26" t="str">
        <f ca="1">IFERROR(IF(LEN(중요_시점3[[#This Row],[요일]])=0,"",IF(AND(AL$7=$E20,$F20=1),중요_시점_표식,"")),"")</f>
        <v/>
      </c>
      <c r="AM20" s="26" t="str">
        <f ca="1">IFERROR(IF(LEN(중요_시점3[[#This Row],[요일]])=0,"",IF(AND(AM$7=$E20,$F20=1),중요_시점_표식,"")),"")</f>
        <v/>
      </c>
      <c r="AN20" s="26" t="str">
        <f ca="1">IFERROR(IF(LEN(중요_시점3[[#This Row],[요일]])=0,"",IF(AND(AN$7=$E20,$F20=1),중요_시점_표식,"")),"")</f>
        <v/>
      </c>
      <c r="AO20" s="26" t="str">
        <f ca="1">IFERROR(IF(LEN(중요_시점3[[#This Row],[요일]])=0,"",IF(AND(AO$7=$E20,$F20=1),중요_시점_표식,"")),"")</f>
        <v/>
      </c>
      <c r="AP20" s="26" t="str">
        <f ca="1">IFERROR(IF(LEN(중요_시점3[[#This Row],[요일]])=0,"",IF(AND(AP$7=$E20,$F20=1),중요_시점_표식,"")),"")</f>
        <v/>
      </c>
      <c r="AQ20" s="26" t="str">
        <f ca="1">IFERROR(IF(LEN(중요_시점3[[#This Row],[요일]])=0,"",IF(AND(AQ$7=$E20,$F20=1),중요_시점_표식,"")),"")</f>
        <v/>
      </c>
      <c r="AR20" s="26" t="str">
        <f ca="1">IFERROR(IF(LEN(중요_시점3[[#This Row],[요일]])=0,"",IF(AND(AR$7=$E20,$F20=1),중요_시점_표식,"")),"")</f>
        <v/>
      </c>
      <c r="AS20" s="26" t="str">
        <f ca="1">IFERROR(IF(LEN(중요_시점3[[#This Row],[요일]])=0,"",IF(AND(AS$7=$E20,$F20=1),중요_시점_표식,"")),"")</f>
        <v/>
      </c>
      <c r="AT20" s="26" t="str">
        <f ca="1">IFERROR(IF(LEN(중요_시점3[[#This Row],[요일]])=0,"",IF(AND(AT$7=$E20,$F20=1),중요_시점_표식,"")),"")</f>
        <v/>
      </c>
      <c r="AU20" s="26" t="str">
        <f ca="1">IFERROR(IF(LEN(중요_시점3[[#This Row],[요일]])=0,"",IF(AND(AU$7=$E20,$F20=1),중요_시점_표식,"")),"")</f>
        <v/>
      </c>
      <c r="AV20" s="26" t="str">
        <f ca="1">IFERROR(IF(LEN(중요_시점3[[#This Row],[요일]])=0,"",IF(AND(AV$7=$E20,$F20=1),중요_시점_표식,"")),"")</f>
        <v/>
      </c>
      <c r="AW20" s="26" t="str">
        <f ca="1">IFERROR(IF(LEN(중요_시점3[[#This Row],[요일]])=0,"",IF(AND(AW$7=$E20,$F20=1),중요_시점_표식,"")),"")</f>
        <v/>
      </c>
      <c r="AX20" s="26" t="str">
        <f ca="1">IFERROR(IF(LEN(중요_시점3[[#This Row],[요일]])=0,"",IF(AND(AX$7=$E20,$F20=1),중요_시점_표식,"")),"")</f>
        <v/>
      </c>
      <c r="AY20" s="26" t="str">
        <f ca="1">IFERROR(IF(LEN(중요_시점3[[#This Row],[요일]])=0,"",IF(AND(AY$7=$E20,$F20=1),중요_시점_표식,"")),"")</f>
        <v/>
      </c>
      <c r="AZ20" s="26" t="str">
        <f ca="1">IFERROR(IF(LEN(중요_시점3[[#This Row],[요일]])=0,"",IF(AND(AZ$7=$E20,$F20=1),중요_시점_표식,"")),"")</f>
        <v/>
      </c>
      <c r="BA20" s="26" t="str">
        <f ca="1">IFERROR(IF(LEN(중요_시점3[[#This Row],[요일]])=0,"",IF(AND(BA$7=$E20,$F20=1),중요_시점_표식,"")),"")</f>
        <v/>
      </c>
      <c r="BB20" s="26" t="str">
        <f ca="1">IFERROR(IF(LEN(중요_시점3[[#This Row],[요일]])=0,"",IF(AND(BB$7=$E20,$F20=1),중요_시점_표식,"")),"")</f>
        <v/>
      </c>
      <c r="BC20" s="26" t="str">
        <f ca="1">IFERROR(IF(LEN(중요_시점3[[#This Row],[요일]])=0,"",IF(AND(BC$7=$E20,$F20=1),중요_시점_표식,"")),"")</f>
        <v/>
      </c>
      <c r="BD20" s="26" t="str">
        <f ca="1">IFERROR(IF(LEN(중요_시점3[[#This Row],[요일]])=0,"",IF(AND(BD$7=$E20,$F20=1),중요_시점_표식,"")),"")</f>
        <v/>
      </c>
      <c r="BE20" s="26" t="str">
        <f ca="1">IFERROR(IF(LEN(중요_시점3[[#This Row],[요일]])=0,"",IF(AND(BE$7=$E20,$F20=1),중요_시점_표식,"")),"")</f>
        <v/>
      </c>
      <c r="BF20" s="26" t="str">
        <f ca="1">IFERROR(IF(LEN(중요_시점3[[#This Row],[요일]])=0,"",IF(AND(BF$7=$E20,$F20=1),중요_시점_표식,"")),"")</f>
        <v/>
      </c>
      <c r="BG20" s="26" t="str">
        <f ca="1">IFERROR(IF(LEN(중요_시점3[[#This Row],[요일]])=0,"",IF(AND(BG$7=$E20,$F20=1),중요_시점_표식,"")),"")</f>
        <v/>
      </c>
      <c r="BH20" s="26" t="str">
        <f ca="1">IFERROR(IF(LEN(중요_시점3[[#This Row],[요일]])=0,"",IF(AND(BH$7=$E20,$F20=1),중요_시점_표식,"")),"")</f>
        <v/>
      </c>
      <c r="BI20" s="26" t="str">
        <f ca="1">IFERROR(IF(LEN(중요_시점3[[#This Row],[요일]])=0,"",IF(AND(BI$7=$E20,$F20=1),중요_시점_표식,"")),"")</f>
        <v/>
      </c>
      <c r="BJ20" s="26" t="str">
        <f ca="1">IFERROR(IF(LEN(중요_시점3[[#This Row],[요일]])=0,"",IF(AND(BJ$7=$E20,$F20=1),중요_시점_표식,"")),"")</f>
        <v/>
      </c>
      <c r="BK20" s="26" t="str">
        <f ca="1">IFERROR(IF(LEN(중요_시점3[[#This Row],[요일]])=0,"",IF(AND(BK$7=$E20,$F20=1),중요_시점_표식,"")),"")</f>
        <v/>
      </c>
    </row>
    <row r="21" spans="1:63" s="1" customFormat="1" ht="30" customHeight="1" outlineLevel="1">
      <c r="A21" s="5"/>
      <c r="B21" s="49" t="s">
        <v>14</v>
      </c>
      <c r="C21" s="13"/>
      <c r="D21" s="81"/>
      <c r="E21" s="42">
        <f ca="1">TODAY()+25</f>
        <v>44613</v>
      </c>
      <c r="F21" s="12">
        <v>24</v>
      </c>
      <c r="G21" s="27"/>
      <c r="H21" s="26" t="str">
        <f ca="1">IFERROR(IF(LEN(중요_시점3[[#This Row],[요일]])=0,"",IF(AND(H$7=$E21,$F21=1),중요_시점_표식,"")),"")</f>
        <v/>
      </c>
      <c r="I21" s="26" t="str">
        <f ca="1">IFERROR(IF(LEN(중요_시점3[[#This Row],[요일]])=0,"",IF(AND(I$7=$E21,$F21=1),중요_시점_표식,"")),"")</f>
        <v/>
      </c>
      <c r="J21" s="26" t="str">
        <f ca="1">IFERROR(IF(LEN(중요_시점3[[#This Row],[요일]])=0,"",IF(AND(J$7=$E21,$F21=1),중요_시점_표식,"")),"")</f>
        <v/>
      </c>
      <c r="K21" s="26" t="str">
        <f ca="1">IFERROR(IF(LEN(중요_시점3[[#This Row],[요일]])=0,"",IF(AND(K$7=$E21,$F21=1),중요_시점_표식,"")),"")</f>
        <v/>
      </c>
      <c r="L21" s="26" t="str">
        <f ca="1">IFERROR(IF(LEN(중요_시점3[[#This Row],[요일]])=0,"",IF(AND(L$7=$E21,$F21=1),중요_시점_표식,"")),"")</f>
        <v/>
      </c>
      <c r="M21" s="26" t="str">
        <f ca="1">IFERROR(IF(LEN(중요_시점3[[#This Row],[요일]])=0,"",IF(AND(M$7=$E21,$F21=1),중요_시점_표식,"")),"")</f>
        <v/>
      </c>
      <c r="N21" s="26" t="str">
        <f ca="1">IFERROR(IF(LEN(중요_시점3[[#This Row],[요일]])=0,"",IF(AND(N$7=$E21,$F21=1),중요_시점_표식,"")),"")</f>
        <v/>
      </c>
      <c r="O21" s="26" t="str">
        <f ca="1">IFERROR(IF(LEN(중요_시점3[[#This Row],[요일]])=0,"",IF(AND(O$7=$E21,$F21=1),중요_시점_표식,"")),"")</f>
        <v/>
      </c>
      <c r="P21" s="26" t="str">
        <f ca="1">IFERROR(IF(LEN(중요_시점3[[#This Row],[요일]])=0,"",IF(AND(P$7=$E21,$F21=1),중요_시점_표식,"")),"")</f>
        <v/>
      </c>
      <c r="Q21" s="26" t="str">
        <f ca="1">IFERROR(IF(LEN(중요_시점3[[#This Row],[요일]])=0,"",IF(AND(Q$7=$E21,$F21=1),중요_시점_표식,"")),"")</f>
        <v/>
      </c>
      <c r="R21" s="26" t="str">
        <f ca="1">IFERROR(IF(LEN(중요_시점3[[#This Row],[요일]])=0,"",IF(AND(R$7=$E21,$F21=1),중요_시점_표식,"")),"")</f>
        <v/>
      </c>
      <c r="S21" s="26" t="str">
        <f ca="1">IFERROR(IF(LEN(중요_시점3[[#This Row],[요일]])=0,"",IF(AND(S$7=$E21,$F21=1),중요_시점_표식,"")),"")</f>
        <v/>
      </c>
      <c r="T21" s="26" t="str">
        <f ca="1">IFERROR(IF(LEN(중요_시점3[[#This Row],[요일]])=0,"",IF(AND(T$7=$E21,$F21=1),중요_시점_표식,"")),"")</f>
        <v/>
      </c>
      <c r="U21" s="26" t="str">
        <f ca="1">IFERROR(IF(LEN(중요_시점3[[#This Row],[요일]])=0,"",IF(AND(U$7=$E21,$F21=1),중요_시점_표식,"")),"")</f>
        <v/>
      </c>
      <c r="V21" s="26" t="str">
        <f ca="1">IFERROR(IF(LEN(중요_시점3[[#This Row],[요일]])=0,"",IF(AND(V$7=$E21,$F21=1),중요_시점_표식,"")),"")</f>
        <v/>
      </c>
      <c r="W21" s="26" t="str">
        <f ca="1">IFERROR(IF(LEN(중요_시점3[[#This Row],[요일]])=0,"",IF(AND(W$7=$E21,$F21=1),중요_시점_표식,"")),"")</f>
        <v/>
      </c>
      <c r="X21" s="26" t="str">
        <f ca="1">IFERROR(IF(LEN(중요_시점3[[#This Row],[요일]])=0,"",IF(AND(X$7=$E21,$F21=1),중요_시점_표식,"")),"")</f>
        <v/>
      </c>
      <c r="Y21" s="26" t="str">
        <f ca="1">IFERROR(IF(LEN(중요_시점3[[#This Row],[요일]])=0,"",IF(AND(Y$7=$E21,$F21=1),중요_시점_표식,"")),"")</f>
        <v/>
      </c>
      <c r="Z21" s="26" t="str">
        <f ca="1">IFERROR(IF(LEN(중요_시점3[[#This Row],[요일]])=0,"",IF(AND(Z$7=$E21,$F21=1),중요_시점_표식,"")),"")</f>
        <v/>
      </c>
      <c r="AA21" s="26" t="str">
        <f ca="1">IFERROR(IF(LEN(중요_시점3[[#This Row],[요일]])=0,"",IF(AND(AA$7=$E21,$F21=1),중요_시점_표식,"")),"")</f>
        <v/>
      </c>
      <c r="AB21" s="26" t="str">
        <f ca="1">IFERROR(IF(LEN(중요_시점3[[#This Row],[요일]])=0,"",IF(AND(AB$7=$E21,$F21=1),중요_시점_표식,"")),"")</f>
        <v/>
      </c>
      <c r="AC21" s="26" t="str">
        <f ca="1">IFERROR(IF(LEN(중요_시점3[[#This Row],[요일]])=0,"",IF(AND(AC$7=$E21,$F21=1),중요_시점_표식,"")),"")</f>
        <v/>
      </c>
      <c r="AD21" s="26" t="str">
        <f ca="1">IFERROR(IF(LEN(중요_시점3[[#This Row],[요일]])=0,"",IF(AND(AD$7=$E21,$F21=1),중요_시점_표식,"")),"")</f>
        <v/>
      </c>
      <c r="AE21" s="26" t="str">
        <f ca="1">IFERROR(IF(LEN(중요_시점3[[#This Row],[요일]])=0,"",IF(AND(AE$7=$E21,$F21=1),중요_시점_표식,"")),"")</f>
        <v/>
      </c>
      <c r="AF21" s="26" t="str">
        <f ca="1">IFERROR(IF(LEN(중요_시점3[[#This Row],[요일]])=0,"",IF(AND(AF$7=$E21,$F21=1),중요_시점_표식,"")),"")</f>
        <v/>
      </c>
      <c r="AG21" s="26" t="str">
        <f ca="1">IFERROR(IF(LEN(중요_시점3[[#This Row],[요일]])=0,"",IF(AND(AG$7=$E21,$F21=1),중요_시점_표식,"")),"")</f>
        <v/>
      </c>
      <c r="AH21" s="26" t="str">
        <f ca="1">IFERROR(IF(LEN(중요_시점3[[#This Row],[요일]])=0,"",IF(AND(AH$7=$E21,$F21=1),중요_시점_표식,"")),"")</f>
        <v/>
      </c>
      <c r="AI21" s="26" t="str">
        <f ca="1">IFERROR(IF(LEN(중요_시점3[[#This Row],[요일]])=0,"",IF(AND(AI$7=$E21,$F21=1),중요_시점_표식,"")),"")</f>
        <v/>
      </c>
      <c r="AJ21" s="26" t="str">
        <f ca="1">IFERROR(IF(LEN(중요_시점3[[#This Row],[요일]])=0,"",IF(AND(AJ$7=$E21,$F21=1),중요_시점_표식,"")),"")</f>
        <v/>
      </c>
      <c r="AK21" s="26" t="str">
        <f ca="1">IFERROR(IF(LEN(중요_시점3[[#This Row],[요일]])=0,"",IF(AND(AK$7=$E21,$F21=1),중요_시점_표식,"")),"")</f>
        <v/>
      </c>
      <c r="AL21" s="26" t="str">
        <f ca="1">IFERROR(IF(LEN(중요_시점3[[#This Row],[요일]])=0,"",IF(AND(AL$7=$E21,$F21=1),중요_시점_표식,"")),"")</f>
        <v/>
      </c>
      <c r="AM21" s="26" t="str">
        <f ca="1">IFERROR(IF(LEN(중요_시점3[[#This Row],[요일]])=0,"",IF(AND(AM$7=$E21,$F21=1),중요_시점_표식,"")),"")</f>
        <v/>
      </c>
      <c r="AN21" s="26" t="str">
        <f ca="1">IFERROR(IF(LEN(중요_시점3[[#This Row],[요일]])=0,"",IF(AND(AN$7=$E21,$F21=1),중요_시점_표식,"")),"")</f>
        <v/>
      </c>
      <c r="AO21" s="26" t="str">
        <f ca="1">IFERROR(IF(LEN(중요_시점3[[#This Row],[요일]])=0,"",IF(AND(AO$7=$E21,$F21=1),중요_시점_표식,"")),"")</f>
        <v/>
      </c>
      <c r="AP21" s="26" t="str">
        <f ca="1">IFERROR(IF(LEN(중요_시점3[[#This Row],[요일]])=0,"",IF(AND(AP$7=$E21,$F21=1),중요_시점_표식,"")),"")</f>
        <v/>
      </c>
      <c r="AQ21" s="26" t="str">
        <f ca="1">IFERROR(IF(LEN(중요_시점3[[#This Row],[요일]])=0,"",IF(AND(AQ$7=$E21,$F21=1),중요_시점_표식,"")),"")</f>
        <v/>
      </c>
      <c r="AR21" s="26" t="str">
        <f ca="1">IFERROR(IF(LEN(중요_시점3[[#This Row],[요일]])=0,"",IF(AND(AR$7=$E21,$F21=1),중요_시점_표식,"")),"")</f>
        <v/>
      </c>
      <c r="AS21" s="26" t="str">
        <f ca="1">IFERROR(IF(LEN(중요_시점3[[#This Row],[요일]])=0,"",IF(AND(AS$7=$E21,$F21=1),중요_시점_표식,"")),"")</f>
        <v/>
      </c>
      <c r="AT21" s="26" t="str">
        <f ca="1">IFERROR(IF(LEN(중요_시점3[[#This Row],[요일]])=0,"",IF(AND(AT$7=$E21,$F21=1),중요_시점_표식,"")),"")</f>
        <v/>
      </c>
      <c r="AU21" s="26" t="str">
        <f ca="1">IFERROR(IF(LEN(중요_시점3[[#This Row],[요일]])=0,"",IF(AND(AU$7=$E21,$F21=1),중요_시점_표식,"")),"")</f>
        <v/>
      </c>
      <c r="AV21" s="26" t="str">
        <f ca="1">IFERROR(IF(LEN(중요_시점3[[#This Row],[요일]])=0,"",IF(AND(AV$7=$E21,$F21=1),중요_시점_표식,"")),"")</f>
        <v/>
      </c>
      <c r="AW21" s="26" t="str">
        <f ca="1">IFERROR(IF(LEN(중요_시점3[[#This Row],[요일]])=0,"",IF(AND(AW$7=$E21,$F21=1),중요_시점_표식,"")),"")</f>
        <v/>
      </c>
      <c r="AX21" s="26" t="str">
        <f ca="1">IFERROR(IF(LEN(중요_시점3[[#This Row],[요일]])=0,"",IF(AND(AX$7=$E21,$F21=1),중요_시점_표식,"")),"")</f>
        <v/>
      </c>
      <c r="AY21" s="26" t="str">
        <f ca="1">IFERROR(IF(LEN(중요_시점3[[#This Row],[요일]])=0,"",IF(AND(AY$7=$E21,$F21=1),중요_시점_표식,"")),"")</f>
        <v/>
      </c>
      <c r="AZ21" s="26" t="str">
        <f ca="1">IFERROR(IF(LEN(중요_시점3[[#This Row],[요일]])=0,"",IF(AND(AZ$7=$E21,$F21=1),중요_시점_표식,"")),"")</f>
        <v/>
      </c>
      <c r="BA21" s="26" t="str">
        <f ca="1">IFERROR(IF(LEN(중요_시점3[[#This Row],[요일]])=0,"",IF(AND(BA$7=$E21,$F21=1),중요_시점_표식,"")),"")</f>
        <v/>
      </c>
      <c r="BB21" s="26" t="str">
        <f ca="1">IFERROR(IF(LEN(중요_시점3[[#This Row],[요일]])=0,"",IF(AND(BB$7=$E21,$F21=1),중요_시점_표식,"")),"")</f>
        <v/>
      </c>
      <c r="BC21" s="26" t="str">
        <f ca="1">IFERROR(IF(LEN(중요_시점3[[#This Row],[요일]])=0,"",IF(AND(BC$7=$E21,$F21=1),중요_시점_표식,"")),"")</f>
        <v/>
      </c>
      <c r="BD21" s="26" t="str">
        <f ca="1">IFERROR(IF(LEN(중요_시점3[[#This Row],[요일]])=0,"",IF(AND(BD$7=$E21,$F21=1),중요_시점_표식,"")),"")</f>
        <v/>
      </c>
      <c r="BE21" s="26" t="str">
        <f ca="1">IFERROR(IF(LEN(중요_시점3[[#This Row],[요일]])=0,"",IF(AND(BE$7=$E21,$F21=1),중요_시점_표식,"")),"")</f>
        <v/>
      </c>
      <c r="BF21" s="26" t="str">
        <f ca="1">IFERROR(IF(LEN(중요_시점3[[#This Row],[요일]])=0,"",IF(AND(BF$7=$E21,$F21=1),중요_시점_표식,"")),"")</f>
        <v/>
      </c>
      <c r="BG21" s="26" t="str">
        <f ca="1">IFERROR(IF(LEN(중요_시점3[[#This Row],[요일]])=0,"",IF(AND(BG$7=$E21,$F21=1),중요_시점_표식,"")),"")</f>
        <v/>
      </c>
      <c r="BH21" s="26" t="str">
        <f ca="1">IFERROR(IF(LEN(중요_시점3[[#This Row],[요일]])=0,"",IF(AND(BH$7=$E21,$F21=1),중요_시점_표식,"")),"")</f>
        <v/>
      </c>
      <c r="BI21" s="26" t="str">
        <f ca="1">IFERROR(IF(LEN(중요_시점3[[#This Row],[요일]])=0,"",IF(AND(BI$7=$E21,$F21=1),중요_시점_표식,"")),"")</f>
        <v/>
      </c>
      <c r="BJ21" s="26" t="str">
        <f ca="1">IFERROR(IF(LEN(중요_시점3[[#This Row],[요일]])=0,"",IF(AND(BJ$7=$E21,$F21=1),중요_시점_표식,"")),"")</f>
        <v/>
      </c>
      <c r="BK21" s="26" t="str">
        <f ca="1">IFERROR(IF(LEN(중요_시점3[[#This Row],[요일]])=0,"",IF(AND(BK$7=$E21,$F21=1),중요_시점_표식,"")),"")</f>
        <v/>
      </c>
    </row>
    <row r="22" spans="1:63" s="1" customFormat="1" ht="30" customHeight="1">
      <c r="A22" s="5"/>
      <c r="B22" s="40" t="s">
        <v>16</v>
      </c>
      <c r="C22" s="13"/>
      <c r="D22" s="44"/>
      <c r="E22" s="42"/>
      <c r="F22" s="12"/>
      <c r="G22" s="27"/>
      <c r="H22" s="26" t="str">
        <f>IFERROR(IF(LEN(중요_시점3[[#This Row],[요일]])=0,"",IF(AND(H$7=$E22,$F22=1),중요_시점_표식,"")),"")</f>
        <v/>
      </c>
      <c r="I22" s="26" t="str">
        <f>IFERROR(IF(LEN(중요_시점3[[#This Row],[요일]])=0,"",IF(AND(I$7=$E22,$F22=1),중요_시점_표식,"")),"")</f>
        <v/>
      </c>
      <c r="J22" s="26" t="str">
        <f>IFERROR(IF(LEN(중요_시점3[[#This Row],[요일]])=0,"",IF(AND(J$7=$E22,$F22=1),중요_시점_표식,"")),"")</f>
        <v/>
      </c>
      <c r="K22" s="26" t="str">
        <f>IFERROR(IF(LEN(중요_시점3[[#This Row],[요일]])=0,"",IF(AND(K$7=$E22,$F22=1),중요_시점_표식,"")),"")</f>
        <v/>
      </c>
      <c r="L22" s="26" t="str">
        <f>IFERROR(IF(LEN(중요_시점3[[#This Row],[요일]])=0,"",IF(AND(L$7=$E22,$F22=1),중요_시점_표식,"")),"")</f>
        <v/>
      </c>
      <c r="M22" s="26" t="str">
        <f>IFERROR(IF(LEN(중요_시점3[[#This Row],[요일]])=0,"",IF(AND(M$7=$E22,$F22=1),중요_시점_표식,"")),"")</f>
        <v/>
      </c>
      <c r="N22" s="26" t="str">
        <f>IFERROR(IF(LEN(중요_시점3[[#This Row],[요일]])=0,"",IF(AND(N$7=$E22,$F22=1),중요_시점_표식,"")),"")</f>
        <v/>
      </c>
      <c r="O22" s="26" t="str">
        <f>IFERROR(IF(LEN(중요_시점3[[#This Row],[요일]])=0,"",IF(AND(O$7=$E22,$F22=1),중요_시점_표식,"")),"")</f>
        <v/>
      </c>
      <c r="P22" s="26" t="str">
        <f>IFERROR(IF(LEN(중요_시점3[[#This Row],[요일]])=0,"",IF(AND(P$7=$E22,$F22=1),중요_시점_표식,"")),"")</f>
        <v/>
      </c>
      <c r="Q22" s="26" t="str">
        <f>IFERROR(IF(LEN(중요_시점3[[#This Row],[요일]])=0,"",IF(AND(Q$7=$E22,$F22=1),중요_시점_표식,"")),"")</f>
        <v/>
      </c>
      <c r="R22" s="26" t="str">
        <f>IFERROR(IF(LEN(중요_시점3[[#This Row],[요일]])=0,"",IF(AND(R$7=$E22,$F22=1),중요_시점_표식,"")),"")</f>
        <v/>
      </c>
      <c r="S22" s="26" t="str">
        <f>IFERROR(IF(LEN(중요_시점3[[#This Row],[요일]])=0,"",IF(AND(S$7=$E22,$F22=1),중요_시점_표식,"")),"")</f>
        <v/>
      </c>
      <c r="T22" s="26" t="str">
        <f>IFERROR(IF(LEN(중요_시점3[[#This Row],[요일]])=0,"",IF(AND(T$7=$E22,$F22=1),중요_시점_표식,"")),"")</f>
        <v/>
      </c>
      <c r="U22" s="26" t="str">
        <f>IFERROR(IF(LEN(중요_시점3[[#This Row],[요일]])=0,"",IF(AND(U$7=$E22,$F22=1),중요_시점_표식,"")),"")</f>
        <v/>
      </c>
      <c r="V22" s="26" t="str">
        <f>IFERROR(IF(LEN(중요_시점3[[#This Row],[요일]])=0,"",IF(AND(V$7=$E22,$F22=1),중요_시점_표식,"")),"")</f>
        <v/>
      </c>
      <c r="W22" s="26" t="str">
        <f>IFERROR(IF(LEN(중요_시점3[[#This Row],[요일]])=0,"",IF(AND(W$7=$E22,$F22=1),중요_시점_표식,"")),"")</f>
        <v/>
      </c>
      <c r="X22" s="26" t="str">
        <f>IFERROR(IF(LEN(중요_시점3[[#This Row],[요일]])=0,"",IF(AND(X$7=$E22,$F22=1),중요_시점_표식,"")),"")</f>
        <v/>
      </c>
      <c r="Y22" s="26" t="str">
        <f>IFERROR(IF(LEN(중요_시점3[[#This Row],[요일]])=0,"",IF(AND(Y$7=$E22,$F22=1),중요_시점_표식,"")),"")</f>
        <v/>
      </c>
      <c r="Z22" s="26" t="str">
        <f>IFERROR(IF(LEN(중요_시점3[[#This Row],[요일]])=0,"",IF(AND(Z$7=$E22,$F22=1),중요_시점_표식,"")),"")</f>
        <v/>
      </c>
      <c r="AA22" s="26" t="str">
        <f>IFERROR(IF(LEN(중요_시점3[[#This Row],[요일]])=0,"",IF(AND(AA$7=$E22,$F22=1),중요_시점_표식,"")),"")</f>
        <v/>
      </c>
      <c r="AB22" s="26" t="str">
        <f>IFERROR(IF(LEN(중요_시점3[[#This Row],[요일]])=0,"",IF(AND(AB$7=$E22,$F22=1),중요_시점_표식,"")),"")</f>
        <v/>
      </c>
      <c r="AC22" s="26" t="str">
        <f>IFERROR(IF(LEN(중요_시점3[[#This Row],[요일]])=0,"",IF(AND(AC$7=$E22,$F22=1),중요_시점_표식,"")),"")</f>
        <v/>
      </c>
      <c r="AD22" s="26" t="str">
        <f>IFERROR(IF(LEN(중요_시점3[[#This Row],[요일]])=0,"",IF(AND(AD$7=$E22,$F22=1),중요_시점_표식,"")),"")</f>
        <v/>
      </c>
      <c r="AE22" s="26" t="str">
        <f>IFERROR(IF(LEN(중요_시점3[[#This Row],[요일]])=0,"",IF(AND(AE$7=$E22,$F22=1),중요_시점_표식,"")),"")</f>
        <v/>
      </c>
      <c r="AF22" s="26" t="str">
        <f>IFERROR(IF(LEN(중요_시점3[[#This Row],[요일]])=0,"",IF(AND(AF$7=$E22,$F22=1),중요_시점_표식,"")),"")</f>
        <v/>
      </c>
      <c r="AG22" s="26" t="str">
        <f>IFERROR(IF(LEN(중요_시점3[[#This Row],[요일]])=0,"",IF(AND(AG$7=$E22,$F22=1),중요_시점_표식,"")),"")</f>
        <v/>
      </c>
      <c r="AH22" s="26" t="str">
        <f>IFERROR(IF(LEN(중요_시점3[[#This Row],[요일]])=0,"",IF(AND(AH$7=$E22,$F22=1),중요_시점_표식,"")),"")</f>
        <v/>
      </c>
      <c r="AI22" s="26" t="str">
        <f>IFERROR(IF(LEN(중요_시점3[[#This Row],[요일]])=0,"",IF(AND(AI$7=$E22,$F22=1),중요_시점_표식,"")),"")</f>
        <v/>
      </c>
      <c r="AJ22" s="26" t="str">
        <f>IFERROR(IF(LEN(중요_시점3[[#This Row],[요일]])=0,"",IF(AND(AJ$7=$E22,$F22=1),중요_시점_표식,"")),"")</f>
        <v/>
      </c>
      <c r="AK22" s="26" t="str">
        <f>IFERROR(IF(LEN(중요_시점3[[#This Row],[요일]])=0,"",IF(AND(AK$7=$E22,$F22=1),중요_시점_표식,"")),"")</f>
        <v/>
      </c>
      <c r="AL22" s="26" t="str">
        <f>IFERROR(IF(LEN(중요_시점3[[#This Row],[요일]])=0,"",IF(AND(AL$7=$E22,$F22=1),중요_시점_표식,"")),"")</f>
        <v/>
      </c>
      <c r="AM22" s="26" t="str">
        <f>IFERROR(IF(LEN(중요_시점3[[#This Row],[요일]])=0,"",IF(AND(AM$7=$E22,$F22=1),중요_시점_표식,"")),"")</f>
        <v/>
      </c>
      <c r="AN22" s="26" t="str">
        <f>IFERROR(IF(LEN(중요_시점3[[#This Row],[요일]])=0,"",IF(AND(AN$7=$E22,$F22=1),중요_시점_표식,"")),"")</f>
        <v/>
      </c>
      <c r="AO22" s="26" t="str">
        <f>IFERROR(IF(LEN(중요_시점3[[#This Row],[요일]])=0,"",IF(AND(AO$7=$E22,$F22=1),중요_시점_표식,"")),"")</f>
        <v/>
      </c>
      <c r="AP22" s="26" t="str">
        <f>IFERROR(IF(LEN(중요_시점3[[#This Row],[요일]])=0,"",IF(AND(AP$7=$E22,$F22=1),중요_시점_표식,"")),"")</f>
        <v/>
      </c>
      <c r="AQ22" s="26" t="str">
        <f>IFERROR(IF(LEN(중요_시점3[[#This Row],[요일]])=0,"",IF(AND(AQ$7=$E22,$F22=1),중요_시점_표식,"")),"")</f>
        <v/>
      </c>
      <c r="AR22" s="26" t="str">
        <f>IFERROR(IF(LEN(중요_시점3[[#This Row],[요일]])=0,"",IF(AND(AR$7=$E22,$F22=1),중요_시점_표식,"")),"")</f>
        <v/>
      </c>
      <c r="AS22" s="26" t="str">
        <f>IFERROR(IF(LEN(중요_시점3[[#This Row],[요일]])=0,"",IF(AND(AS$7=$E22,$F22=1),중요_시점_표식,"")),"")</f>
        <v/>
      </c>
      <c r="AT22" s="26" t="str">
        <f>IFERROR(IF(LEN(중요_시점3[[#This Row],[요일]])=0,"",IF(AND(AT$7=$E22,$F22=1),중요_시점_표식,"")),"")</f>
        <v/>
      </c>
      <c r="AU22" s="26" t="str">
        <f>IFERROR(IF(LEN(중요_시점3[[#This Row],[요일]])=0,"",IF(AND(AU$7=$E22,$F22=1),중요_시점_표식,"")),"")</f>
        <v/>
      </c>
      <c r="AV22" s="26" t="str">
        <f>IFERROR(IF(LEN(중요_시점3[[#This Row],[요일]])=0,"",IF(AND(AV$7=$E22,$F22=1),중요_시점_표식,"")),"")</f>
        <v/>
      </c>
      <c r="AW22" s="26" t="str">
        <f>IFERROR(IF(LEN(중요_시점3[[#This Row],[요일]])=0,"",IF(AND(AW$7=$E22,$F22=1),중요_시점_표식,"")),"")</f>
        <v/>
      </c>
      <c r="AX22" s="26" t="str">
        <f>IFERROR(IF(LEN(중요_시점3[[#This Row],[요일]])=0,"",IF(AND(AX$7=$E22,$F22=1),중요_시점_표식,"")),"")</f>
        <v/>
      </c>
      <c r="AY22" s="26" t="str">
        <f>IFERROR(IF(LEN(중요_시점3[[#This Row],[요일]])=0,"",IF(AND(AY$7=$E22,$F22=1),중요_시점_표식,"")),"")</f>
        <v/>
      </c>
      <c r="AZ22" s="26" t="str">
        <f>IFERROR(IF(LEN(중요_시점3[[#This Row],[요일]])=0,"",IF(AND(AZ$7=$E22,$F22=1),중요_시점_표식,"")),"")</f>
        <v/>
      </c>
      <c r="BA22" s="26" t="str">
        <f>IFERROR(IF(LEN(중요_시점3[[#This Row],[요일]])=0,"",IF(AND(BA$7=$E22,$F22=1),중요_시점_표식,"")),"")</f>
        <v/>
      </c>
      <c r="BB22" s="26" t="str">
        <f>IFERROR(IF(LEN(중요_시점3[[#This Row],[요일]])=0,"",IF(AND(BB$7=$E22,$F22=1),중요_시점_표식,"")),"")</f>
        <v/>
      </c>
      <c r="BC22" s="26" t="str">
        <f>IFERROR(IF(LEN(중요_시점3[[#This Row],[요일]])=0,"",IF(AND(BC$7=$E22,$F22=1),중요_시점_표식,"")),"")</f>
        <v/>
      </c>
      <c r="BD22" s="26" t="str">
        <f>IFERROR(IF(LEN(중요_시점3[[#This Row],[요일]])=0,"",IF(AND(BD$7=$E22,$F22=1),중요_시점_표식,"")),"")</f>
        <v/>
      </c>
      <c r="BE22" s="26" t="str">
        <f>IFERROR(IF(LEN(중요_시점3[[#This Row],[요일]])=0,"",IF(AND(BE$7=$E22,$F22=1),중요_시점_표식,"")),"")</f>
        <v/>
      </c>
      <c r="BF22" s="26" t="str">
        <f>IFERROR(IF(LEN(중요_시점3[[#This Row],[요일]])=0,"",IF(AND(BF$7=$E22,$F22=1),중요_시점_표식,"")),"")</f>
        <v/>
      </c>
      <c r="BG22" s="26" t="str">
        <f>IFERROR(IF(LEN(중요_시점3[[#This Row],[요일]])=0,"",IF(AND(BG$7=$E22,$F22=1),중요_시점_표식,"")),"")</f>
        <v/>
      </c>
      <c r="BH22" s="26" t="str">
        <f>IFERROR(IF(LEN(중요_시점3[[#This Row],[요일]])=0,"",IF(AND(BH$7=$E22,$F22=1),중요_시점_표식,"")),"")</f>
        <v/>
      </c>
      <c r="BI22" s="26" t="str">
        <f>IFERROR(IF(LEN(중요_시점3[[#This Row],[요일]])=0,"",IF(AND(BI$7=$E22,$F22=1),중요_시점_표식,"")),"")</f>
        <v/>
      </c>
      <c r="BJ22" s="26" t="str">
        <f>IFERROR(IF(LEN(중요_시점3[[#This Row],[요일]])=0,"",IF(AND(BJ$7=$E22,$F22=1),중요_시점_표식,"")),"")</f>
        <v/>
      </c>
      <c r="BK22" s="26" t="str">
        <f>IFERROR(IF(LEN(중요_시점3[[#This Row],[요일]])=0,"",IF(AND(BK$7=$E22,$F22=1),중요_시점_표식,"")),"")</f>
        <v/>
      </c>
    </row>
    <row r="23" spans="1:63" s="1" customFormat="1" ht="30" customHeight="1" outlineLevel="1">
      <c r="A23" s="5"/>
      <c r="B23" s="49" t="s">
        <v>10</v>
      </c>
      <c r="C23" s="13"/>
      <c r="D23" s="81"/>
      <c r="E23" s="42">
        <f ca="1">TODAY()+15</f>
        <v>44603</v>
      </c>
      <c r="F23" s="12">
        <v>4</v>
      </c>
      <c r="G23" s="27"/>
      <c r="H23" s="26" t="str">
        <f ca="1">IFERROR(IF(LEN(중요_시점3[[#This Row],[요일]])=0,"",IF(AND(H$7=$E23,$F23=1),중요_시점_표식,"")),"")</f>
        <v/>
      </c>
      <c r="I23" s="26" t="str">
        <f ca="1">IFERROR(IF(LEN(중요_시점3[[#This Row],[요일]])=0,"",IF(AND(I$7=$E23,$F23=1),중요_시점_표식,"")),"")</f>
        <v/>
      </c>
      <c r="J23" s="26" t="str">
        <f ca="1">IFERROR(IF(LEN(중요_시점3[[#This Row],[요일]])=0,"",IF(AND(J$7=$E23,$F23=1),중요_시점_표식,"")),"")</f>
        <v/>
      </c>
      <c r="K23" s="26" t="str">
        <f ca="1">IFERROR(IF(LEN(중요_시점3[[#This Row],[요일]])=0,"",IF(AND(K$7=$E23,$F23=1),중요_시점_표식,"")),"")</f>
        <v/>
      </c>
      <c r="L23" s="26" t="str">
        <f ca="1">IFERROR(IF(LEN(중요_시점3[[#This Row],[요일]])=0,"",IF(AND(L$7=$E23,$F23=1),중요_시점_표식,"")),"")</f>
        <v/>
      </c>
      <c r="M23" s="26" t="str">
        <f ca="1">IFERROR(IF(LEN(중요_시점3[[#This Row],[요일]])=0,"",IF(AND(M$7=$E23,$F23=1),중요_시점_표식,"")),"")</f>
        <v/>
      </c>
      <c r="N23" s="26" t="str">
        <f ca="1">IFERROR(IF(LEN(중요_시점3[[#This Row],[요일]])=0,"",IF(AND(N$7=$E23,$F23=1),중요_시점_표식,"")),"")</f>
        <v/>
      </c>
      <c r="O23" s="26" t="str">
        <f ca="1">IFERROR(IF(LEN(중요_시점3[[#This Row],[요일]])=0,"",IF(AND(O$7=$E23,$F23=1),중요_시점_표식,"")),"")</f>
        <v/>
      </c>
      <c r="P23" s="26" t="str">
        <f ca="1">IFERROR(IF(LEN(중요_시점3[[#This Row],[요일]])=0,"",IF(AND(P$7=$E23,$F23=1),중요_시점_표식,"")),"")</f>
        <v/>
      </c>
      <c r="Q23" s="26" t="str">
        <f ca="1">IFERROR(IF(LEN(중요_시점3[[#This Row],[요일]])=0,"",IF(AND(Q$7=$E23,$F23=1),중요_시점_표식,"")),"")</f>
        <v/>
      </c>
      <c r="R23" s="26" t="str">
        <f ca="1">IFERROR(IF(LEN(중요_시점3[[#This Row],[요일]])=0,"",IF(AND(R$7=$E23,$F23=1),중요_시점_표식,"")),"")</f>
        <v/>
      </c>
      <c r="S23" s="26" t="str">
        <f ca="1">IFERROR(IF(LEN(중요_시점3[[#This Row],[요일]])=0,"",IF(AND(S$7=$E23,$F23=1),중요_시점_표식,"")),"")</f>
        <v/>
      </c>
      <c r="T23" s="26" t="str">
        <f ca="1">IFERROR(IF(LEN(중요_시점3[[#This Row],[요일]])=0,"",IF(AND(T$7=$E23,$F23=1),중요_시점_표식,"")),"")</f>
        <v/>
      </c>
      <c r="U23" s="26" t="str">
        <f ca="1">IFERROR(IF(LEN(중요_시점3[[#This Row],[요일]])=0,"",IF(AND(U$7=$E23,$F23=1),중요_시점_표식,"")),"")</f>
        <v/>
      </c>
      <c r="V23" s="26" t="str">
        <f ca="1">IFERROR(IF(LEN(중요_시점3[[#This Row],[요일]])=0,"",IF(AND(V$7=$E23,$F23=1),중요_시점_표식,"")),"")</f>
        <v/>
      </c>
      <c r="W23" s="26" t="str">
        <f ca="1">IFERROR(IF(LEN(중요_시점3[[#This Row],[요일]])=0,"",IF(AND(W$7=$E23,$F23=1),중요_시점_표식,"")),"")</f>
        <v/>
      </c>
      <c r="X23" s="26" t="str">
        <f ca="1">IFERROR(IF(LEN(중요_시점3[[#This Row],[요일]])=0,"",IF(AND(X$7=$E23,$F23=1),중요_시점_표식,"")),"")</f>
        <v/>
      </c>
      <c r="Y23" s="26" t="str">
        <f ca="1">IFERROR(IF(LEN(중요_시점3[[#This Row],[요일]])=0,"",IF(AND(Y$7=$E23,$F23=1),중요_시점_표식,"")),"")</f>
        <v/>
      </c>
      <c r="Z23" s="26" t="str">
        <f ca="1">IFERROR(IF(LEN(중요_시점3[[#This Row],[요일]])=0,"",IF(AND(Z$7=$E23,$F23=1),중요_시점_표식,"")),"")</f>
        <v/>
      </c>
      <c r="AA23" s="26" t="str">
        <f ca="1">IFERROR(IF(LEN(중요_시점3[[#This Row],[요일]])=0,"",IF(AND(AA$7=$E23,$F23=1),중요_시점_표식,"")),"")</f>
        <v/>
      </c>
      <c r="AB23" s="26" t="str">
        <f ca="1">IFERROR(IF(LEN(중요_시점3[[#This Row],[요일]])=0,"",IF(AND(AB$7=$E23,$F23=1),중요_시점_표식,"")),"")</f>
        <v/>
      </c>
      <c r="AC23" s="26" t="str">
        <f ca="1">IFERROR(IF(LEN(중요_시점3[[#This Row],[요일]])=0,"",IF(AND(AC$7=$E23,$F23=1),중요_시점_표식,"")),"")</f>
        <v/>
      </c>
      <c r="AD23" s="26" t="str">
        <f ca="1">IFERROR(IF(LEN(중요_시점3[[#This Row],[요일]])=0,"",IF(AND(AD$7=$E23,$F23=1),중요_시점_표식,"")),"")</f>
        <v/>
      </c>
      <c r="AE23" s="26" t="str">
        <f ca="1">IFERROR(IF(LEN(중요_시점3[[#This Row],[요일]])=0,"",IF(AND(AE$7=$E23,$F23=1),중요_시점_표식,"")),"")</f>
        <v/>
      </c>
      <c r="AF23" s="26" t="str">
        <f ca="1">IFERROR(IF(LEN(중요_시점3[[#This Row],[요일]])=0,"",IF(AND(AF$7=$E23,$F23=1),중요_시점_표식,"")),"")</f>
        <v/>
      </c>
      <c r="AG23" s="26" t="str">
        <f ca="1">IFERROR(IF(LEN(중요_시점3[[#This Row],[요일]])=0,"",IF(AND(AG$7=$E23,$F23=1),중요_시점_표식,"")),"")</f>
        <v/>
      </c>
      <c r="AH23" s="26" t="str">
        <f ca="1">IFERROR(IF(LEN(중요_시점3[[#This Row],[요일]])=0,"",IF(AND(AH$7=$E23,$F23=1),중요_시점_표식,"")),"")</f>
        <v/>
      </c>
      <c r="AI23" s="26" t="str">
        <f ca="1">IFERROR(IF(LEN(중요_시점3[[#This Row],[요일]])=0,"",IF(AND(AI$7=$E23,$F23=1),중요_시점_표식,"")),"")</f>
        <v/>
      </c>
      <c r="AJ23" s="26" t="str">
        <f ca="1">IFERROR(IF(LEN(중요_시점3[[#This Row],[요일]])=0,"",IF(AND(AJ$7=$E23,$F23=1),중요_시점_표식,"")),"")</f>
        <v/>
      </c>
      <c r="AK23" s="26" t="str">
        <f ca="1">IFERROR(IF(LEN(중요_시점3[[#This Row],[요일]])=0,"",IF(AND(AK$7=$E23,$F23=1),중요_시점_표식,"")),"")</f>
        <v/>
      </c>
      <c r="AL23" s="26" t="str">
        <f ca="1">IFERROR(IF(LEN(중요_시점3[[#This Row],[요일]])=0,"",IF(AND(AL$7=$E23,$F23=1),중요_시점_표식,"")),"")</f>
        <v/>
      </c>
      <c r="AM23" s="26" t="str">
        <f ca="1">IFERROR(IF(LEN(중요_시점3[[#This Row],[요일]])=0,"",IF(AND(AM$7=$E23,$F23=1),중요_시점_표식,"")),"")</f>
        <v/>
      </c>
      <c r="AN23" s="26" t="str">
        <f ca="1">IFERROR(IF(LEN(중요_시점3[[#This Row],[요일]])=0,"",IF(AND(AN$7=$E23,$F23=1),중요_시점_표식,"")),"")</f>
        <v/>
      </c>
      <c r="AO23" s="26" t="str">
        <f ca="1">IFERROR(IF(LEN(중요_시점3[[#This Row],[요일]])=0,"",IF(AND(AO$7=$E23,$F23=1),중요_시점_표식,"")),"")</f>
        <v/>
      </c>
      <c r="AP23" s="26" t="str">
        <f ca="1">IFERROR(IF(LEN(중요_시점3[[#This Row],[요일]])=0,"",IF(AND(AP$7=$E23,$F23=1),중요_시점_표식,"")),"")</f>
        <v/>
      </c>
      <c r="AQ23" s="26" t="str">
        <f ca="1">IFERROR(IF(LEN(중요_시점3[[#This Row],[요일]])=0,"",IF(AND(AQ$7=$E23,$F23=1),중요_시점_표식,"")),"")</f>
        <v/>
      </c>
      <c r="AR23" s="26" t="str">
        <f ca="1">IFERROR(IF(LEN(중요_시점3[[#This Row],[요일]])=0,"",IF(AND(AR$7=$E23,$F23=1),중요_시점_표식,"")),"")</f>
        <v/>
      </c>
      <c r="AS23" s="26" t="str">
        <f ca="1">IFERROR(IF(LEN(중요_시점3[[#This Row],[요일]])=0,"",IF(AND(AS$7=$E23,$F23=1),중요_시점_표식,"")),"")</f>
        <v/>
      </c>
      <c r="AT23" s="26" t="str">
        <f ca="1">IFERROR(IF(LEN(중요_시점3[[#This Row],[요일]])=0,"",IF(AND(AT$7=$E23,$F23=1),중요_시점_표식,"")),"")</f>
        <v/>
      </c>
      <c r="AU23" s="26" t="str">
        <f ca="1">IFERROR(IF(LEN(중요_시점3[[#This Row],[요일]])=0,"",IF(AND(AU$7=$E23,$F23=1),중요_시점_표식,"")),"")</f>
        <v/>
      </c>
      <c r="AV23" s="26" t="str">
        <f ca="1">IFERROR(IF(LEN(중요_시점3[[#This Row],[요일]])=0,"",IF(AND(AV$7=$E23,$F23=1),중요_시점_표식,"")),"")</f>
        <v/>
      </c>
      <c r="AW23" s="26" t="str">
        <f ca="1">IFERROR(IF(LEN(중요_시점3[[#This Row],[요일]])=0,"",IF(AND(AW$7=$E23,$F23=1),중요_시점_표식,"")),"")</f>
        <v/>
      </c>
      <c r="AX23" s="26" t="str">
        <f ca="1">IFERROR(IF(LEN(중요_시점3[[#This Row],[요일]])=0,"",IF(AND(AX$7=$E23,$F23=1),중요_시점_표식,"")),"")</f>
        <v/>
      </c>
      <c r="AY23" s="26" t="str">
        <f ca="1">IFERROR(IF(LEN(중요_시점3[[#This Row],[요일]])=0,"",IF(AND(AY$7=$E23,$F23=1),중요_시점_표식,"")),"")</f>
        <v/>
      </c>
      <c r="AZ23" s="26" t="str">
        <f ca="1">IFERROR(IF(LEN(중요_시점3[[#This Row],[요일]])=0,"",IF(AND(AZ$7=$E23,$F23=1),중요_시점_표식,"")),"")</f>
        <v/>
      </c>
      <c r="BA23" s="26" t="str">
        <f ca="1">IFERROR(IF(LEN(중요_시점3[[#This Row],[요일]])=0,"",IF(AND(BA$7=$E23,$F23=1),중요_시점_표식,"")),"")</f>
        <v/>
      </c>
      <c r="BB23" s="26" t="str">
        <f ca="1">IFERROR(IF(LEN(중요_시점3[[#This Row],[요일]])=0,"",IF(AND(BB$7=$E23,$F23=1),중요_시점_표식,"")),"")</f>
        <v/>
      </c>
      <c r="BC23" s="26" t="str">
        <f ca="1">IFERROR(IF(LEN(중요_시점3[[#This Row],[요일]])=0,"",IF(AND(BC$7=$E23,$F23=1),중요_시점_표식,"")),"")</f>
        <v/>
      </c>
      <c r="BD23" s="26" t="str">
        <f ca="1">IFERROR(IF(LEN(중요_시점3[[#This Row],[요일]])=0,"",IF(AND(BD$7=$E23,$F23=1),중요_시점_표식,"")),"")</f>
        <v/>
      </c>
      <c r="BE23" s="26" t="str">
        <f ca="1">IFERROR(IF(LEN(중요_시점3[[#This Row],[요일]])=0,"",IF(AND(BE$7=$E23,$F23=1),중요_시점_표식,"")),"")</f>
        <v/>
      </c>
      <c r="BF23" s="26" t="str">
        <f ca="1">IFERROR(IF(LEN(중요_시점3[[#This Row],[요일]])=0,"",IF(AND(BF$7=$E23,$F23=1),중요_시점_표식,"")),"")</f>
        <v/>
      </c>
      <c r="BG23" s="26" t="str">
        <f ca="1">IFERROR(IF(LEN(중요_시점3[[#This Row],[요일]])=0,"",IF(AND(BG$7=$E23,$F23=1),중요_시점_표식,"")),"")</f>
        <v/>
      </c>
      <c r="BH23" s="26" t="str">
        <f ca="1">IFERROR(IF(LEN(중요_시점3[[#This Row],[요일]])=0,"",IF(AND(BH$7=$E23,$F23=1),중요_시점_표식,"")),"")</f>
        <v/>
      </c>
      <c r="BI23" s="26" t="str">
        <f ca="1">IFERROR(IF(LEN(중요_시점3[[#This Row],[요일]])=0,"",IF(AND(BI$7=$E23,$F23=1),중요_시점_표식,"")),"")</f>
        <v/>
      </c>
      <c r="BJ23" s="26" t="str">
        <f ca="1">IFERROR(IF(LEN(중요_시점3[[#This Row],[요일]])=0,"",IF(AND(BJ$7=$E23,$F23=1),중요_시점_표식,"")),"")</f>
        <v/>
      </c>
      <c r="BK23" s="26" t="str">
        <f ca="1">IFERROR(IF(LEN(중요_시점3[[#This Row],[요일]])=0,"",IF(AND(BK$7=$E23,$F23=1),중요_시점_표식,"")),"")</f>
        <v/>
      </c>
    </row>
    <row r="24" spans="1:63" s="1" customFormat="1" ht="30" customHeight="1" outlineLevel="1">
      <c r="A24" s="5"/>
      <c r="B24" s="49" t="s">
        <v>11</v>
      </c>
      <c r="C24" s="13"/>
      <c r="D24" s="44"/>
      <c r="E24" s="42">
        <f ca="1">TODAY()+19</f>
        <v>44607</v>
      </c>
      <c r="F24" s="12">
        <v>14</v>
      </c>
      <c r="G24" s="27"/>
      <c r="H24" s="26" t="str">
        <f ca="1">IFERROR(IF(LEN(중요_시점3[[#This Row],[요일]])=0,"",IF(AND(H$7=$E24,$F24=1),중요_시점_표식,"")),"")</f>
        <v/>
      </c>
      <c r="I24" s="26" t="str">
        <f ca="1">IFERROR(IF(LEN(중요_시점3[[#This Row],[요일]])=0,"",IF(AND(I$7=$E24,$F24=1),중요_시점_표식,"")),"")</f>
        <v/>
      </c>
      <c r="J24" s="26" t="str">
        <f ca="1">IFERROR(IF(LEN(중요_시점3[[#This Row],[요일]])=0,"",IF(AND(J$7=$E24,$F24=1),중요_시점_표식,"")),"")</f>
        <v/>
      </c>
      <c r="K24" s="26" t="str">
        <f ca="1">IFERROR(IF(LEN(중요_시점3[[#This Row],[요일]])=0,"",IF(AND(K$7=$E24,$F24=1),중요_시점_표식,"")),"")</f>
        <v/>
      </c>
      <c r="L24" s="26" t="str">
        <f ca="1">IFERROR(IF(LEN(중요_시점3[[#This Row],[요일]])=0,"",IF(AND(L$7=$E24,$F24=1),중요_시점_표식,"")),"")</f>
        <v/>
      </c>
      <c r="M24" s="26" t="str">
        <f ca="1">IFERROR(IF(LEN(중요_시점3[[#This Row],[요일]])=0,"",IF(AND(M$7=$E24,$F24=1),중요_시점_표식,"")),"")</f>
        <v/>
      </c>
      <c r="N24" s="26" t="str">
        <f ca="1">IFERROR(IF(LEN(중요_시점3[[#This Row],[요일]])=0,"",IF(AND(N$7=$E24,$F24=1),중요_시점_표식,"")),"")</f>
        <v/>
      </c>
      <c r="O24" s="26" t="str">
        <f ca="1">IFERROR(IF(LEN(중요_시점3[[#This Row],[요일]])=0,"",IF(AND(O$7=$E24,$F24=1),중요_시점_표식,"")),"")</f>
        <v/>
      </c>
      <c r="P24" s="26" t="str">
        <f ca="1">IFERROR(IF(LEN(중요_시점3[[#This Row],[요일]])=0,"",IF(AND(P$7=$E24,$F24=1),중요_시점_표식,"")),"")</f>
        <v/>
      </c>
      <c r="Q24" s="26" t="str">
        <f ca="1">IFERROR(IF(LEN(중요_시점3[[#This Row],[요일]])=0,"",IF(AND(Q$7=$E24,$F24=1),중요_시점_표식,"")),"")</f>
        <v/>
      </c>
      <c r="R24" s="26" t="str">
        <f ca="1">IFERROR(IF(LEN(중요_시점3[[#This Row],[요일]])=0,"",IF(AND(R$7=$E24,$F24=1),중요_시점_표식,"")),"")</f>
        <v/>
      </c>
      <c r="S24" s="26" t="str">
        <f ca="1">IFERROR(IF(LEN(중요_시점3[[#This Row],[요일]])=0,"",IF(AND(S$7=$E24,$F24=1),중요_시점_표식,"")),"")</f>
        <v/>
      </c>
      <c r="T24" s="26" t="str">
        <f ca="1">IFERROR(IF(LEN(중요_시점3[[#This Row],[요일]])=0,"",IF(AND(T$7=$E24,$F24=1),중요_시점_표식,"")),"")</f>
        <v/>
      </c>
      <c r="U24" s="26" t="str">
        <f ca="1">IFERROR(IF(LEN(중요_시점3[[#This Row],[요일]])=0,"",IF(AND(U$7=$E24,$F24=1),중요_시점_표식,"")),"")</f>
        <v/>
      </c>
      <c r="V24" s="26" t="str">
        <f ca="1">IFERROR(IF(LEN(중요_시점3[[#This Row],[요일]])=0,"",IF(AND(V$7=$E24,$F24=1),중요_시점_표식,"")),"")</f>
        <v/>
      </c>
      <c r="W24" s="26" t="str">
        <f ca="1">IFERROR(IF(LEN(중요_시점3[[#This Row],[요일]])=0,"",IF(AND(W$7=$E24,$F24=1),중요_시점_표식,"")),"")</f>
        <v/>
      </c>
      <c r="X24" s="26" t="str">
        <f ca="1">IFERROR(IF(LEN(중요_시점3[[#This Row],[요일]])=0,"",IF(AND(X$7=$E24,$F24=1),중요_시점_표식,"")),"")</f>
        <v/>
      </c>
      <c r="Y24" s="26" t="str">
        <f ca="1">IFERROR(IF(LEN(중요_시점3[[#This Row],[요일]])=0,"",IF(AND(Y$7=$E24,$F24=1),중요_시점_표식,"")),"")</f>
        <v/>
      </c>
      <c r="Z24" s="26" t="str">
        <f ca="1">IFERROR(IF(LEN(중요_시점3[[#This Row],[요일]])=0,"",IF(AND(Z$7=$E24,$F24=1),중요_시점_표식,"")),"")</f>
        <v/>
      </c>
      <c r="AA24" s="26" t="str">
        <f ca="1">IFERROR(IF(LEN(중요_시점3[[#This Row],[요일]])=0,"",IF(AND(AA$7=$E24,$F24=1),중요_시점_표식,"")),"")</f>
        <v/>
      </c>
      <c r="AB24" s="26" t="str">
        <f ca="1">IFERROR(IF(LEN(중요_시점3[[#This Row],[요일]])=0,"",IF(AND(AB$7=$E24,$F24=1),중요_시점_표식,"")),"")</f>
        <v/>
      </c>
      <c r="AC24" s="26" t="str">
        <f ca="1">IFERROR(IF(LEN(중요_시점3[[#This Row],[요일]])=0,"",IF(AND(AC$7=$E24,$F24=1),중요_시점_표식,"")),"")</f>
        <v/>
      </c>
      <c r="AD24" s="26" t="str">
        <f ca="1">IFERROR(IF(LEN(중요_시점3[[#This Row],[요일]])=0,"",IF(AND(AD$7=$E24,$F24=1),중요_시점_표식,"")),"")</f>
        <v/>
      </c>
      <c r="AE24" s="26" t="str">
        <f ca="1">IFERROR(IF(LEN(중요_시점3[[#This Row],[요일]])=0,"",IF(AND(AE$7=$E24,$F24=1),중요_시점_표식,"")),"")</f>
        <v/>
      </c>
      <c r="AF24" s="26" t="str">
        <f ca="1">IFERROR(IF(LEN(중요_시점3[[#This Row],[요일]])=0,"",IF(AND(AF$7=$E24,$F24=1),중요_시점_표식,"")),"")</f>
        <v/>
      </c>
      <c r="AG24" s="26" t="str">
        <f ca="1">IFERROR(IF(LEN(중요_시점3[[#This Row],[요일]])=0,"",IF(AND(AG$7=$E24,$F24=1),중요_시점_표식,"")),"")</f>
        <v/>
      </c>
      <c r="AH24" s="26" t="str">
        <f ca="1">IFERROR(IF(LEN(중요_시점3[[#This Row],[요일]])=0,"",IF(AND(AH$7=$E24,$F24=1),중요_시점_표식,"")),"")</f>
        <v/>
      </c>
      <c r="AI24" s="26" t="str">
        <f ca="1">IFERROR(IF(LEN(중요_시점3[[#This Row],[요일]])=0,"",IF(AND(AI$7=$E24,$F24=1),중요_시점_표식,"")),"")</f>
        <v/>
      </c>
      <c r="AJ24" s="26" t="str">
        <f ca="1">IFERROR(IF(LEN(중요_시점3[[#This Row],[요일]])=0,"",IF(AND(AJ$7=$E24,$F24=1),중요_시점_표식,"")),"")</f>
        <v/>
      </c>
      <c r="AK24" s="26" t="str">
        <f ca="1">IFERROR(IF(LEN(중요_시점3[[#This Row],[요일]])=0,"",IF(AND(AK$7=$E24,$F24=1),중요_시점_표식,"")),"")</f>
        <v/>
      </c>
      <c r="AL24" s="26" t="str">
        <f ca="1">IFERROR(IF(LEN(중요_시점3[[#This Row],[요일]])=0,"",IF(AND(AL$7=$E24,$F24=1),중요_시점_표식,"")),"")</f>
        <v/>
      </c>
      <c r="AM24" s="26" t="str">
        <f ca="1">IFERROR(IF(LEN(중요_시점3[[#This Row],[요일]])=0,"",IF(AND(AM$7=$E24,$F24=1),중요_시점_표식,"")),"")</f>
        <v/>
      </c>
      <c r="AN24" s="26" t="str">
        <f ca="1">IFERROR(IF(LEN(중요_시점3[[#This Row],[요일]])=0,"",IF(AND(AN$7=$E24,$F24=1),중요_시점_표식,"")),"")</f>
        <v/>
      </c>
      <c r="AO24" s="26" t="str">
        <f ca="1">IFERROR(IF(LEN(중요_시점3[[#This Row],[요일]])=0,"",IF(AND(AO$7=$E24,$F24=1),중요_시점_표식,"")),"")</f>
        <v/>
      </c>
      <c r="AP24" s="26" t="str">
        <f ca="1">IFERROR(IF(LEN(중요_시점3[[#This Row],[요일]])=0,"",IF(AND(AP$7=$E24,$F24=1),중요_시점_표식,"")),"")</f>
        <v/>
      </c>
      <c r="AQ24" s="26" t="str">
        <f ca="1">IFERROR(IF(LEN(중요_시점3[[#This Row],[요일]])=0,"",IF(AND(AQ$7=$E24,$F24=1),중요_시점_표식,"")),"")</f>
        <v/>
      </c>
      <c r="AR24" s="26" t="str">
        <f ca="1">IFERROR(IF(LEN(중요_시점3[[#This Row],[요일]])=0,"",IF(AND(AR$7=$E24,$F24=1),중요_시점_표식,"")),"")</f>
        <v/>
      </c>
      <c r="AS24" s="26" t="str">
        <f ca="1">IFERROR(IF(LEN(중요_시점3[[#This Row],[요일]])=0,"",IF(AND(AS$7=$E24,$F24=1),중요_시점_표식,"")),"")</f>
        <v/>
      </c>
      <c r="AT24" s="26" t="str">
        <f ca="1">IFERROR(IF(LEN(중요_시점3[[#This Row],[요일]])=0,"",IF(AND(AT$7=$E24,$F24=1),중요_시점_표식,"")),"")</f>
        <v/>
      </c>
      <c r="AU24" s="26" t="str">
        <f ca="1">IFERROR(IF(LEN(중요_시점3[[#This Row],[요일]])=0,"",IF(AND(AU$7=$E24,$F24=1),중요_시점_표식,"")),"")</f>
        <v/>
      </c>
      <c r="AV24" s="26" t="str">
        <f ca="1">IFERROR(IF(LEN(중요_시점3[[#This Row],[요일]])=0,"",IF(AND(AV$7=$E24,$F24=1),중요_시점_표식,"")),"")</f>
        <v/>
      </c>
      <c r="AW24" s="26" t="str">
        <f ca="1">IFERROR(IF(LEN(중요_시점3[[#This Row],[요일]])=0,"",IF(AND(AW$7=$E24,$F24=1),중요_시점_표식,"")),"")</f>
        <v/>
      </c>
      <c r="AX24" s="26" t="str">
        <f ca="1">IFERROR(IF(LEN(중요_시점3[[#This Row],[요일]])=0,"",IF(AND(AX$7=$E24,$F24=1),중요_시점_표식,"")),"")</f>
        <v/>
      </c>
      <c r="AY24" s="26" t="str">
        <f ca="1">IFERROR(IF(LEN(중요_시점3[[#This Row],[요일]])=0,"",IF(AND(AY$7=$E24,$F24=1),중요_시점_표식,"")),"")</f>
        <v/>
      </c>
      <c r="AZ24" s="26" t="str">
        <f ca="1">IFERROR(IF(LEN(중요_시점3[[#This Row],[요일]])=0,"",IF(AND(AZ$7=$E24,$F24=1),중요_시점_표식,"")),"")</f>
        <v/>
      </c>
      <c r="BA24" s="26" t="str">
        <f ca="1">IFERROR(IF(LEN(중요_시점3[[#This Row],[요일]])=0,"",IF(AND(BA$7=$E24,$F24=1),중요_시점_표식,"")),"")</f>
        <v/>
      </c>
      <c r="BB24" s="26" t="str">
        <f ca="1">IFERROR(IF(LEN(중요_시점3[[#This Row],[요일]])=0,"",IF(AND(BB$7=$E24,$F24=1),중요_시점_표식,"")),"")</f>
        <v/>
      </c>
      <c r="BC24" s="26" t="str">
        <f ca="1">IFERROR(IF(LEN(중요_시점3[[#This Row],[요일]])=0,"",IF(AND(BC$7=$E24,$F24=1),중요_시점_표식,"")),"")</f>
        <v/>
      </c>
      <c r="BD24" s="26" t="str">
        <f ca="1">IFERROR(IF(LEN(중요_시점3[[#This Row],[요일]])=0,"",IF(AND(BD$7=$E24,$F24=1),중요_시점_표식,"")),"")</f>
        <v/>
      </c>
      <c r="BE24" s="26" t="str">
        <f ca="1">IFERROR(IF(LEN(중요_시점3[[#This Row],[요일]])=0,"",IF(AND(BE$7=$E24,$F24=1),중요_시점_표식,"")),"")</f>
        <v/>
      </c>
      <c r="BF24" s="26" t="str">
        <f ca="1">IFERROR(IF(LEN(중요_시점3[[#This Row],[요일]])=0,"",IF(AND(BF$7=$E24,$F24=1),중요_시점_표식,"")),"")</f>
        <v/>
      </c>
      <c r="BG24" s="26" t="str">
        <f ca="1">IFERROR(IF(LEN(중요_시점3[[#This Row],[요일]])=0,"",IF(AND(BG$7=$E24,$F24=1),중요_시점_표식,"")),"")</f>
        <v/>
      </c>
      <c r="BH24" s="26" t="str">
        <f ca="1">IFERROR(IF(LEN(중요_시점3[[#This Row],[요일]])=0,"",IF(AND(BH$7=$E24,$F24=1),중요_시점_표식,"")),"")</f>
        <v/>
      </c>
      <c r="BI24" s="26" t="str">
        <f ca="1">IFERROR(IF(LEN(중요_시점3[[#This Row],[요일]])=0,"",IF(AND(BI$7=$E24,$F24=1),중요_시점_표식,"")),"")</f>
        <v/>
      </c>
      <c r="BJ24" s="26" t="str">
        <f ca="1">IFERROR(IF(LEN(중요_시점3[[#This Row],[요일]])=0,"",IF(AND(BJ$7=$E24,$F24=1),중요_시점_표식,"")),"")</f>
        <v/>
      </c>
      <c r="BK24" s="26" t="str">
        <f ca="1">IFERROR(IF(LEN(중요_시점3[[#This Row],[요일]])=0,"",IF(AND(BK$7=$E24,$F24=1),중요_시점_표식,"")),"")</f>
        <v/>
      </c>
    </row>
    <row r="25" spans="1:63" s="1" customFormat="1" ht="30" customHeight="1" outlineLevel="1">
      <c r="A25" s="5"/>
      <c r="B25" s="49" t="s">
        <v>12</v>
      </c>
      <c r="C25" s="13"/>
      <c r="D25" s="81"/>
      <c r="E25" s="42">
        <f ca="1">TODAY()+35</f>
        <v>44623</v>
      </c>
      <c r="F25" s="12">
        <v>6</v>
      </c>
      <c r="G25" s="27"/>
      <c r="H25" s="26" t="str">
        <f ca="1">IFERROR(IF(LEN(중요_시점3[[#This Row],[요일]])=0,"",IF(AND(H$7=$E25,$F25=1),중요_시점_표식,"")),"")</f>
        <v/>
      </c>
      <c r="I25" s="26" t="str">
        <f ca="1">IFERROR(IF(LEN(중요_시점3[[#This Row],[요일]])=0,"",IF(AND(I$7=$E25,$F25=1),중요_시점_표식,"")),"")</f>
        <v/>
      </c>
      <c r="J25" s="26" t="str">
        <f ca="1">IFERROR(IF(LEN(중요_시점3[[#This Row],[요일]])=0,"",IF(AND(J$7=$E25,$F25=1),중요_시점_표식,"")),"")</f>
        <v/>
      </c>
      <c r="K25" s="26" t="str">
        <f ca="1">IFERROR(IF(LEN(중요_시점3[[#This Row],[요일]])=0,"",IF(AND(K$7=$E25,$F25=1),중요_시점_표식,"")),"")</f>
        <v/>
      </c>
      <c r="L25" s="26" t="str">
        <f ca="1">IFERROR(IF(LEN(중요_시점3[[#This Row],[요일]])=0,"",IF(AND(L$7=$E25,$F25=1),중요_시점_표식,"")),"")</f>
        <v/>
      </c>
      <c r="M25" s="26" t="str">
        <f ca="1">IFERROR(IF(LEN(중요_시점3[[#This Row],[요일]])=0,"",IF(AND(M$7=$E25,$F25=1),중요_시점_표식,"")),"")</f>
        <v/>
      </c>
      <c r="N25" s="26" t="str">
        <f ca="1">IFERROR(IF(LEN(중요_시점3[[#This Row],[요일]])=0,"",IF(AND(N$7=$E25,$F25=1),중요_시점_표식,"")),"")</f>
        <v/>
      </c>
      <c r="O25" s="26" t="str">
        <f ca="1">IFERROR(IF(LEN(중요_시점3[[#This Row],[요일]])=0,"",IF(AND(O$7=$E25,$F25=1),중요_시점_표식,"")),"")</f>
        <v/>
      </c>
      <c r="P25" s="26" t="str">
        <f ca="1">IFERROR(IF(LEN(중요_시점3[[#This Row],[요일]])=0,"",IF(AND(P$7=$E25,$F25=1),중요_시점_표식,"")),"")</f>
        <v/>
      </c>
      <c r="Q25" s="26" t="str">
        <f ca="1">IFERROR(IF(LEN(중요_시점3[[#This Row],[요일]])=0,"",IF(AND(Q$7=$E25,$F25=1),중요_시점_표식,"")),"")</f>
        <v/>
      </c>
      <c r="R25" s="26" t="str">
        <f ca="1">IFERROR(IF(LEN(중요_시점3[[#This Row],[요일]])=0,"",IF(AND(R$7=$E25,$F25=1),중요_시점_표식,"")),"")</f>
        <v/>
      </c>
      <c r="S25" s="26" t="str">
        <f ca="1">IFERROR(IF(LEN(중요_시점3[[#This Row],[요일]])=0,"",IF(AND(S$7=$E25,$F25=1),중요_시점_표식,"")),"")</f>
        <v/>
      </c>
      <c r="T25" s="26" t="str">
        <f ca="1">IFERROR(IF(LEN(중요_시점3[[#This Row],[요일]])=0,"",IF(AND(T$7=$E25,$F25=1),중요_시점_표식,"")),"")</f>
        <v/>
      </c>
      <c r="U25" s="26" t="str">
        <f ca="1">IFERROR(IF(LEN(중요_시점3[[#This Row],[요일]])=0,"",IF(AND(U$7=$E25,$F25=1),중요_시점_표식,"")),"")</f>
        <v/>
      </c>
      <c r="V25" s="26" t="str">
        <f ca="1">IFERROR(IF(LEN(중요_시점3[[#This Row],[요일]])=0,"",IF(AND(V$7=$E25,$F25=1),중요_시점_표식,"")),"")</f>
        <v/>
      </c>
      <c r="W25" s="26" t="str">
        <f ca="1">IFERROR(IF(LEN(중요_시점3[[#This Row],[요일]])=0,"",IF(AND(W$7=$E25,$F25=1),중요_시점_표식,"")),"")</f>
        <v/>
      </c>
      <c r="X25" s="26" t="str">
        <f ca="1">IFERROR(IF(LEN(중요_시점3[[#This Row],[요일]])=0,"",IF(AND(X$7=$E25,$F25=1),중요_시점_표식,"")),"")</f>
        <v/>
      </c>
      <c r="Y25" s="26" t="str">
        <f ca="1">IFERROR(IF(LEN(중요_시점3[[#This Row],[요일]])=0,"",IF(AND(Y$7=$E25,$F25=1),중요_시점_표식,"")),"")</f>
        <v/>
      </c>
      <c r="Z25" s="26" t="str">
        <f ca="1">IFERROR(IF(LEN(중요_시점3[[#This Row],[요일]])=0,"",IF(AND(Z$7=$E25,$F25=1),중요_시점_표식,"")),"")</f>
        <v/>
      </c>
      <c r="AA25" s="26" t="str">
        <f ca="1">IFERROR(IF(LEN(중요_시점3[[#This Row],[요일]])=0,"",IF(AND(AA$7=$E25,$F25=1),중요_시점_표식,"")),"")</f>
        <v/>
      </c>
      <c r="AB25" s="26" t="str">
        <f ca="1">IFERROR(IF(LEN(중요_시점3[[#This Row],[요일]])=0,"",IF(AND(AB$7=$E25,$F25=1),중요_시점_표식,"")),"")</f>
        <v/>
      </c>
      <c r="AC25" s="26" t="str">
        <f ca="1">IFERROR(IF(LEN(중요_시점3[[#This Row],[요일]])=0,"",IF(AND(AC$7=$E25,$F25=1),중요_시점_표식,"")),"")</f>
        <v/>
      </c>
      <c r="AD25" s="26" t="str">
        <f ca="1">IFERROR(IF(LEN(중요_시점3[[#This Row],[요일]])=0,"",IF(AND(AD$7=$E25,$F25=1),중요_시점_표식,"")),"")</f>
        <v/>
      </c>
      <c r="AE25" s="26" t="str">
        <f ca="1">IFERROR(IF(LEN(중요_시점3[[#This Row],[요일]])=0,"",IF(AND(AE$7=$E25,$F25=1),중요_시점_표식,"")),"")</f>
        <v/>
      </c>
      <c r="AF25" s="26" t="str">
        <f ca="1">IFERROR(IF(LEN(중요_시점3[[#This Row],[요일]])=0,"",IF(AND(AF$7=$E25,$F25=1),중요_시점_표식,"")),"")</f>
        <v/>
      </c>
      <c r="AG25" s="26" t="str">
        <f ca="1">IFERROR(IF(LEN(중요_시점3[[#This Row],[요일]])=0,"",IF(AND(AG$7=$E25,$F25=1),중요_시점_표식,"")),"")</f>
        <v/>
      </c>
      <c r="AH25" s="26" t="str">
        <f ca="1">IFERROR(IF(LEN(중요_시점3[[#This Row],[요일]])=0,"",IF(AND(AH$7=$E25,$F25=1),중요_시점_표식,"")),"")</f>
        <v/>
      </c>
      <c r="AI25" s="26" t="str">
        <f ca="1">IFERROR(IF(LEN(중요_시점3[[#This Row],[요일]])=0,"",IF(AND(AI$7=$E25,$F25=1),중요_시점_표식,"")),"")</f>
        <v/>
      </c>
      <c r="AJ25" s="26" t="str">
        <f ca="1">IFERROR(IF(LEN(중요_시점3[[#This Row],[요일]])=0,"",IF(AND(AJ$7=$E25,$F25=1),중요_시점_표식,"")),"")</f>
        <v/>
      </c>
      <c r="AK25" s="26" t="str">
        <f ca="1">IFERROR(IF(LEN(중요_시점3[[#This Row],[요일]])=0,"",IF(AND(AK$7=$E25,$F25=1),중요_시점_표식,"")),"")</f>
        <v/>
      </c>
      <c r="AL25" s="26" t="str">
        <f ca="1">IFERROR(IF(LEN(중요_시점3[[#This Row],[요일]])=0,"",IF(AND(AL$7=$E25,$F25=1),중요_시점_표식,"")),"")</f>
        <v/>
      </c>
      <c r="AM25" s="26" t="str">
        <f ca="1">IFERROR(IF(LEN(중요_시점3[[#This Row],[요일]])=0,"",IF(AND(AM$7=$E25,$F25=1),중요_시점_표식,"")),"")</f>
        <v/>
      </c>
      <c r="AN25" s="26" t="str">
        <f ca="1">IFERROR(IF(LEN(중요_시점3[[#This Row],[요일]])=0,"",IF(AND(AN$7=$E25,$F25=1),중요_시점_표식,"")),"")</f>
        <v/>
      </c>
      <c r="AO25" s="26" t="str">
        <f ca="1">IFERROR(IF(LEN(중요_시점3[[#This Row],[요일]])=0,"",IF(AND(AO$7=$E25,$F25=1),중요_시점_표식,"")),"")</f>
        <v/>
      </c>
      <c r="AP25" s="26" t="str">
        <f ca="1">IFERROR(IF(LEN(중요_시점3[[#This Row],[요일]])=0,"",IF(AND(AP$7=$E25,$F25=1),중요_시점_표식,"")),"")</f>
        <v/>
      </c>
      <c r="AQ25" s="26" t="str">
        <f ca="1">IFERROR(IF(LEN(중요_시점3[[#This Row],[요일]])=0,"",IF(AND(AQ$7=$E25,$F25=1),중요_시점_표식,"")),"")</f>
        <v/>
      </c>
      <c r="AR25" s="26" t="str">
        <f ca="1">IFERROR(IF(LEN(중요_시점3[[#This Row],[요일]])=0,"",IF(AND(AR$7=$E25,$F25=1),중요_시점_표식,"")),"")</f>
        <v/>
      </c>
      <c r="AS25" s="26" t="str">
        <f ca="1">IFERROR(IF(LEN(중요_시점3[[#This Row],[요일]])=0,"",IF(AND(AS$7=$E25,$F25=1),중요_시점_표식,"")),"")</f>
        <v/>
      </c>
      <c r="AT25" s="26" t="str">
        <f ca="1">IFERROR(IF(LEN(중요_시점3[[#This Row],[요일]])=0,"",IF(AND(AT$7=$E25,$F25=1),중요_시점_표식,"")),"")</f>
        <v/>
      </c>
      <c r="AU25" s="26" t="str">
        <f ca="1">IFERROR(IF(LEN(중요_시점3[[#This Row],[요일]])=0,"",IF(AND(AU$7=$E25,$F25=1),중요_시점_표식,"")),"")</f>
        <v/>
      </c>
      <c r="AV25" s="26" t="str">
        <f ca="1">IFERROR(IF(LEN(중요_시점3[[#This Row],[요일]])=0,"",IF(AND(AV$7=$E25,$F25=1),중요_시점_표식,"")),"")</f>
        <v/>
      </c>
      <c r="AW25" s="26" t="str">
        <f ca="1">IFERROR(IF(LEN(중요_시점3[[#This Row],[요일]])=0,"",IF(AND(AW$7=$E25,$F25=1),중요_시점_표식,"")),"")</f>
        <v/>
      </c>
      <c r="AX25" s="26" t="str">
        <f ca="1">IFERROR(IF(LEN(중요_시점3[[#This Row],[요일]])=0,"",IF(AND(AX$7=$E25,$F25=1),중요_시점_표식,"")),"")</f>
        <v/>
      </c>
      <c r="AY25" s="26" t="str">
        <f ca="1">IFERROR(IF(LEN(중요_시점3[[#This Row],[요일]])=0,"",IF(AND(AY$7=$E25,$F25=1),중요_시점_표식,"")),"")</f>
        <v/>
      </c>
      <c r="AZ25" s="26" t="str">
        <f ca="1">IFERROR(IF(LEN(중요_시점3[[#This Row],[요일]])=0,"",IF(AND(AZ$7=$E25,$F25=1),중요_시점_표식,"")),"")</f>
        <v/>
      </c>
      <c r="BA25" s="26" t="str">
        <f ca="1">IFERROR(IF(LEN(중요_시점3[[#This Row],[요일]])=0,"",IF(AND(BA$7=$E25,$F25=1),중요_시점_표식,"")),"")</f>
        <v/>
      </c>
      <c r="BB25" s="26" t="str">
        <f ca="1">IFERROR(IF(LEN(중요_시점3[[#This Row],[요일]])=0,"",IF(AND(BB$7=$E25,$F25=1),중요_시점_표식,"")),"")</f>
        <v/>
      </c>
      <c r="BC25" s="26" t="str">
        <f ca="1">IFERROR(IF(LEN(중요_시점3[[#This Row],[요일]])=0,"",IF(AND(BC$7=$E25,$F25=1),중요_시점_표식,"")),"")</f>
        <v/>
      </c>
      <c r="BD25" s="26" t="str">
        <f ca="1">IFERROR(IF(LEN(중요_시점3[[#This Row],[요일]])=0,"",IF(AND(BD$7=$E25,$F25=1),중요_시점_표식,"")),"")</f>
        <v/>
      </c>
      <c r="BE25" s="26" t="str">
        <f ca="1">IFERROR(IF(LEN(중요_시점3[[#This Row],[요일]])=0,"",IF(AND(BE$7=$E25,$F25=1),중요_시점_표식,"")),"")</f>
        <v/>
      </c>
      <c r="BF25" s="26" t="str">
        <f ca="1">IFERROR(IF(LEN(중요_시점3[[#This Row],[요일]])=0,"",IF(AND(BF$7=$E25,$F25=1),중요_시점_표식,"")),"")</f>
        <v/>
      </c>
      <c r="BG25" s="26" t="str">
        <f ca="1">IFERROR(IF(LEN(중요_시점3[[#This Row],[요일]])=0,"",IF(AND(BG$7=$E25,$F25=1),중요_시점_표식,"")),"")</f>
        <v/>
      </c>
      <c r="BH25" s="26" t="str">
        <f ca="1">IFERROR(IF(LEN(중요_시점3[[#This Row],[요일]])=0,"",IF(AND(BH$7=$E25,$F25=1),중요_시점_표식,"")),"")</f>
        <v/>
      </c>
      <c r="BI25" s="26" t="str">
        <f ca="1">IFERROR(IF(LEN(중요_시점3[[#This Row],[요일]])=0,"",IF(AND(BI$7=$E25,$F25=1),중요_시점_표식,"")),"")</f>
        <v/>
      </c>
      <c r="BJ25" s="26" t="str">
        <f ca="1">IFERROR(IF(LEN(중요_시점3[[#This Row],[요일]])=0,"",IF(AND(BJ$7=$E25,$F25=1),중요_시점_표식,"")),"")</f>
        <v/>
      </c>
      <c r="BK25" s="26" t="str">
        <f ca="1">IFERROR(IF(LEN(중요_시점3[[#This Row],[요일]])=0,"",IF(AND(BK$7=$E25,$F25=1),중요_시점_표식,"")),"")</f>
        <v/>
      </c>
    </row>
    <row r="26" spans="1:63" s="1" customFormat="1" ht="30" customHeight="1" outlineLevel="1">
      <c r="A26" s="5"/>
      <c r="B26" s="49" t="s">
        <v>13</v>
      </c>
      <c r="C26" s="13"/>
      <c r="D26" s="44"/>
      <c r="E26" s="42">
        <f ca="1">TODAY()+48</f>
        <v>44636</v>
      </c>
      <c r="F26" s="12">
        <v>3</v>
      </c>
      <c r="G26" s="27"/>
      <c r="H26" s="26" t="str">
        <f ca="1">IFERROR(IF(LEN(중요_시점3[[#This Row],[요일]])=0,"",IF(AND(H$7=$E26,$F26=1),중요_시점_표식,"")),"")</f>
        <v/>
      </c>
      <c r="I26" s="26" t="str">
        <f ca="1">IFERROR(IF(LEN(중요_시점3[[#This Row],[요일]])=0,"",IF(AND(I$7=$E26,$F26=1),중요_시점_표식,"")),"")</f>
        <v/>
      </c>
      <c r="J26" s="26" t="str">
        <f ca="1">IFERROR(IF(LEN(중요_시점3[[#This Row],[요일]])=0,"",IF(AND(J$7=$E26,$F26=1),중요_시점_표식,"")),"")</f>
        <v/>
      </c>
      <c r="K26" s="26" t="str">
        <f ca="1">IFERROR(IF(LEN(중요_시점3[[#This Row],[요일]])=0,"",IF(AND(K$7=$E26,$F26=1),중요_시점_표식,"")),"")</f>
        <v/>
      </c>
      <c r="L26" s="26" t="str">
        <f ca="1">IFERROR(IF(LEN(중요_시점3[[#This Row],[요일]])=0,"",IF(AND(L$7=$E26,$F26=1),중요_시점_표식,"")),"")</f>
        <v/>
      </c>
      <c r="M26" s="26" t="str">
        <f ca="1">IFERROR(IF(LEN(중요_시점3[[#This Row],[요일]])=0,"",IF(AND(M$7=$E26,$F26=1),중요_시점_표식,"")),"")</f>
        <v/>
      </c>
      <c r="N26" s="26" t="str">
        <f ca="1">IFERROR(IF(LEN(중요_시점3[[#This Row],[요일]])=0,"",IF(AND(N$7=$E26,$F26=1),중요_시점_표식,"")),"")</f>
        <v/>
      </c>
      <c r="O26" s="26" t="str">
        <f ca="1">IFERROR(IF(LEN(중요_시점3[[#This Row],[요일]])=0,"",IF(AND(O$7=$E26,$F26=1),중요_시점_표식,"")),"")</f>
        <v/>
      </c>
      <c r="P26" s="26" t="str">
        <f ca="1">IFERROR(IF(LEN(중요_시점3[[#This Row],[요일]])=0,"",IF(AND(P$7=$E26,$F26=1),중요_시점_표식,"")),"")</f>
        <v/>
      </c>
      <c r="Q26" s="26" t="str">
        <f ca="1">IFERROR(IF(LEN(중요_시점3[[#This Row],[요일]])=0,"",IF(AND(Q$7=$E26,$F26=1),중요_시점_표식,"")),"")</f>
        <v/>
      </c>
      <c r="R26" s="26" t="str">
        <f ca="1">IFERROR(IF(LEN(중요_시점3[[#This Row],[요일]])=0,"",IF(AND(R$7=$E26,$F26=1),중요_시점_표식,"")),"")</f>
        <v/>
      </c>
      <c r="S26" s="26" t="str">
        <f ca="1">IFERROR(IF(LEN(중요_시점3[[#This Row],[요일]])=0,"",IF(AND(S$7=$E26,$F26=1),중요_시점_표식,"")),"")</f>
        <v/>
      </c>
      <c r="T26" s="26" t="str">
        <f ca="1">IFERROR(IF(LEN(중요_시점3[[#This Row],[요일]])=0,"",IF(AND(T$7=$E26,$F26=1),중요_시점_표식,"")),"")</f>
        <v/>
      </c>
      <c r="U26" s="26" t="str">
        <f ca="1">IFERROR(IF(LEN(중요_시점3[[#This Row],[요일]])=0,"",IF(AND(U$7=$E26,$F26=1),중요_시점_표식,"")),"")</f>
        <v/>
      </c>
      <c r="V26" s="26" t="str">
        <f ca="1">IFERROR(IF(LEN(중요_시점3[[#This Row],[요일]])=0,"",IF(AND(V$7=$E26,$F26=1),중요_시점_표식,"")),"")</f>
        <v/>
      </c>
      <c r="W26" s="26" t="str">
        <f ca="1">IFERROR(IF(LEN(중요_시점3[[#This Row],[요일]])=0,"",IF(AND(W$7=$E26,$F26=1),중요_시점_표식,"")),"")</f>
        <v/>
      </c>
      <c r="X26" s="26" t="str">
        <f ca="1">IFERROR(IF(LEN(중요_시점3[[#This Row],[요일]])=0,"",IF(AND(X$7=$E26,$F26=1),중요_시점_표식,"")),"")</f>
        <v/>
      </c>
      <c r="Y26" s="26" t="str">
        <f ca="1">IFERROR(IF(LEN(중요_시점3[[#This Row],[요일]])=0,"",IF(AND(Y$7=$E26,$F26=1),중요_시점_표식,"")),"")</f>
        <v/>
      </c>
      <c r="Z26" s="26" t="str">
        <f ca="1">IFERROR(IF(LEN(중요_시점3[[#This Row],[요일]])=0,"",IF(AND(Z$7=$E26,$F26=1),중요_시점_표식,"")),"")</f>
        <v/>
      </c>
      <c r="AA26" s="26" t="str">
        <f ca="1">IFERROR(IF(LEN(중요_시점3[[#This Row],[요일]])=0,"",IF(AND(AA$7=$E26,$F26=1),중요_시점_표식,"")),"")</f>
        <v/>
      </c>
      <c r="AB26" s="26" t="str">
        <f ca="1">IFERROR(IF(LEN(중요_시점3[[#This Row],[요일]])=0,"",IF(AND(AB$7=$E26,$F26=1),중요_시점_표식,"")),"")</f>
        <v/>
      </c>
      <c r="AC26" s="26" t="str">
        <f ca="1">IFERROR(IF(LEN(중요_시점3[[#This Row],[요일]])=0,"",IF(AND(AC$7=$E26,$F26=1),중요_시점_표식,"")),"")</f>
        <v/>
      </c>
      <c r="AD26" s="26" t="str">
        <f ca="1">IFERROR(IF(LEN(중요_시점3[[#This Row],[요일]])=0,"",IF(AND(AD$7=$E26,$F26=1),중요_시점_표식,"")),"")</f>
        <v/>
      </c>
      <c r="AE26" s="26" t="str">
        <f ca="1">IFERROR(IF(LEN(중요_시점3[[#This Row],[요일]])=0,"",IF(AND(AE$7=$E26,$F26=1),중요_시점_표식,"")),"")</f>
        <v/>
      </c>
      <c r="AF26" s="26" t="str">
        <f ca="1">IFERROR(IF(LEN(중요_시점3[[#This Row],[요일]])=0,"",IF(AND(AF$7=$E26,$F26=1),중요_시점_표식,"")),"")</f>
        <v/>
      </c>
      <c r="AG26" s="26" t="str">
        <f ca="1">IFERROR(IF(LEN(중요_시점3[[#This Row],[요일]])=0,"",IF(AND(AG$7=$E26,$F26=1),중요_시점_표식,"")),"")</f>
        <v/>
      </c>
      <c r="AH26" s="26" t="str">
        <f ca="1">IFERROR(IF(LEN(중요_시점3[[#This Row],[요일]])=0,"",IF(AND(AH$7=$E26,$F26=1),중요_시점_표식,"")),"")</f>
        <v/>
      </c>
      <c r="AI26" s="26" t="str">
        <f ca="1">IFERROR(IF(LEN(중요_시점3[[#This Row],[요일]])=0,"",IF(AND(AI$7=$E26,$F26=1),중요_시점_표식,"")),"")</f>
        <v/>
      </c>
      <c r="AJ26" s="26" t="str">
        <f ca="1">IFERROR(IF(LEN(중요_시점3[[#This Row],[요일]])=0,"",IF(AND(AJ$7=$E26,$F26=1),중요_시점_표식,"")),"")</f>
        <v/>
      </c>
      <c r="AK26" s="26" t="str">
        <f ca="1">IFERROR(IF(LEN(중요_시점3[[#This Row],[요일]])=0,"",IF(AND(AK$7=$E26,$F26=1),중요_시점_표식,"")),"")</f>
        <v/>
      </c>
      <c r="AL26" s="26" t="str">
        <f ca="1">IFERROR(IF(LEN(중요_시점3[[#This Row],[요일]])=0,"",IF(AND(AL$7=$E26,$F26=1),중요_시점_표식,"")),"")</f>
        <v/>
      </c>
      <c r="AM26" s="26" t="str">
        <f ca="1">IFERROR(IF(LEN(중요_시점3[[#This Row],[요일]])=0,"",IF(AND(AM$7=$E26,$F26=1),중요_시점_표식,"")),"")</f>
        <v/>
      </c>
      <c r="AN26" s="26" t="str">
        <f ca="1">IFERROR(IF(LEN(중요_시점3[[#This Row],[요일]])=0,"",IF(AND(AN$7=$E26,$F26=1),중요_시점_표식,"")),"")</f>
        <v/>
      </c>
      <c r="AO26" s="26" t="str">
        <f ca="1">IFERROR(IF(LEN(중요_시점3[[#This Row],[요일]])=0,"",IF(AND(AO$7=$E26,$F26=1),중요_시점_표식,"")),"")</f>
        <v/>
      </c>
      <c r="AP26" s="26" t="str">
        <f ca="1">IFERROR(IF(LEN(중요_시점3[[#This Row],[요일]])=0,"",IF(AND(AP$7=$E26,$F26=1),중요_시점_표식,"")),"")</f>
        <v/>
      </c>
      <c r="AQ26" s="26" t="str">
        <f ca="1">IFERROR(IF(LEN(중요_시점3[[#This Row],[요일]])=0,"",IF(AND(AQ$7=$E26,$F26=1),중요_시점_표식,"")),"")</f>
        <v/>
      </c>
      <c r="AR26" s="26" t="str">
        <f ca="1">IFERROR(IF(LEN(중요_시점3[[#This Row],[요일]])=0,"",IF(AND(AR$7=$E26,$F26=1),중요_시점_표식,"")),"")</f>
        <v/>
      </c>
      <c r="AS26" s="26" t="str">
        <f ca="1">IFERROR(IF(LEN(중요_시점3[[#This Row],[요일]])=0,"",IF(AND(AS$7=$E26,$F26=1),중요_시점_표식,"")),"")</f>
        <v/>
      </c>
      <c r="AT26" s="26" t="str">
        <f ca="1">IFERROR(IF(LEN(중요_시점3[[#This Row],[요일]])=0,"",IF(AND(AT$7=$E26,$F26=1),중요_시점_표식,"")),"")</f>
        <v/>
      </c>
      <c r="AU26" s="26" t="str">
        <f ca="1">IFERROR(IF(LEN(중요_시점3[[#This Row],[요일]])=0,"",IF(AND(AU$7=$E26,$F26=1),중요_시점_표식,"")),"")</f>
        <v/>
      </c>
      <c r="AV26" s="26" t="str">
        <f ca="1">IFERROR(IF(LEN(중요_시점3[[#This Row],[요일]])=0,"",IF(AND(AV$7=$E26,$F26=1),중요_시점_표식,"")),"")</f>
        <v/>
      </c>
      <c r="AW26" s="26" t="str">
        <f ca="1">IFERROR(IF(LEN(중요_시점3[[#This Row],[요일]])=0,"",IF(AND(AW$7=$E26,$F26=1),중요_시점_표식,"")),"")</f>
        <v/>
      </c>
      <c r="AX26" s="26" t="str">
        <f ca="1">IFERROR(IF(LEN(중요_시점3[[#This Row],[요일]])=0,"",IF(AND(AX$7=$E26,$F26=1),중요_시점_표식,"")),"")</f>
        <v/>
      </c>
      <c r="AY26" s="26" t="str">
        <f ca="1">IFERROR(IF(LEN(중요_시점3[[#This Row],[요일]])=0,"",IF(AND(AY$7=$E26,$F26=1),중요_시점_표식,"")),"")</f>
        <v/>
      </c>
      <c r="AZ26" s="26" t="str">
        <f ca="1">IFERROR(IF(LEN(중요_시점3[[#This Row],[요일]])=0,"",IF(AND(AZ$7=$E26,$F26=1),중요_시점_표식,"")),"")</f>
        <v/>
      </c>
      <c r="BA26" s="26" t="str">
        <f ca="1">IFERROR(IF(LEN(중요_시점3[[#This Row],[요일]])=0,"",IF(AND(BA$7=$E26,$F26=1),중요_시점_표식,"")),"")</f>
        <v/>
      </c>
      <c r="BB26" s="26" t="str">
        <f ca="1">IFERROR(IF(LEN(중요_시점3[[#This Row],[요일]])=0,"",IF(AND(BB$7=$E26,$F26=1),중요_시점_표식,"")),"")</f>
        <v/>
      </c>
      <c r="BC26" s="26" t="str">
        <f ca="1">IFERROR(IF(LEN(중요_시점3[[#This Row],[요일]])=0,"",IF(AND(BC$7=$E26,$F26=1),중요_시점_표식,"")),"")</f>
        <v/>
      </c>
      <c r="BD26" s="26" t="str">
        <f ca="1">IFERROR(IF(LEN(중요_시점3[[#This Row],[요일]])=0,"",IF(AND(BD$7=$E26,$F26=1),중요_시점_표식,"")),"")</f>
        <v/>
      </c>
      <c r="BE26" s="26" t="str">
        <f ca="1">IFERROR(IF(LEN(중요_시점3[[#This Row],[요일]])=0,"",IF(AND(BE$7=$E26,$F26=1),중요_시점_표식,"")),"")</f>
        <v/>
      </c>
      <c r="BF26" s="26" t="str">
        <f ca="1">IFERROR(IF(LEN(중요_시점3[[#This Row],[요일]])=0,"",IF(AND(BF$7=$E26,$F26=1),중요_시점_표식,"")),"")</f>
        <v/>
      </c>
      <c r="BG26" s="26" t="str">
        <f ca="1">IFERROR(IF(LEN(중요_시점3[[#This Row],[요일]])=0,"",IF(AND(BG$7=$E26,$F26=1),중요_시점_표식,"")),"")</f>
        <v/>
      </c>
      <c r="BH26" s="26" t="str">
        <f ca="1">IFERROR(IF(LEN(중요_시점3[[#This Row],[요일]])=0,"",IF(AND(BH$7=$E26,$F26=1),중요_시점_표식,"")),"")</f>
        <v/>
      </c>
      <c r="BI26" s="26" t="str">
        <f ca="1">IFERROR(IF(LEN(중요_시점3[[#This Row],[요일]])=0,"",IF(AND(BI$7=$E26,$F26=1),중요_시점_표식,"")),"")</f>
        <v/>
      </c>
      <c r="BJ26" s="26" t="str">
        <f ca="1">IFERROR(IF(LEN(중요_시점3[[#This Row],[요일]])=0,"",IF(AND(BJ$7=$E26,$F26=1),중요_시점_표식,"")),"")</f>
        <v/>
      </c>
      <c r="BK26" s="26" t="str">
        <f ca="1">IFERROR(IF(LEN(중요_시점3[[#This Row],[요일]])=0,"",IF(AND(BK$7=$E26,$F26=1),중요_시점_표식,"")),"")</f>
        <v/>
      </c>
    </row>
    <row r="27" spans="1:63" s="1" customFormat="1" ht="30" customHeight="1" outlineLevel="1">
      <c r="A27" s="5"/>
      <c r="B27" s="49" t="s">
        <v>14</v>
      </c>
      <c r="C27" s="13"/>
      <c r="D27" s="81"/>
      <c r="E27" s="42">
        <f ca="1">TODAY()+40</f>
        <v>44628</v>
      </c>
      <c r="F27" s="12">
        <v>19</v>
      </c>
      <c r="G27" s="27"/>
      <c r="H27" s="26" t="str">
        <f ca="1">IFERROR(IF(LEN(중요_시점3[[#This Row],[요일]])=0,"",IF(AND(H$7=$E27,$F27=1),중요_시점_표식,"")),"")</f>
        <v/>
      </c>
      <c r="I27" s="26" t="str">
        <f ca="1">IFERROR(IF(LEN(중요_시점3[[#This Row],[요일]])=0,"",IF(AND(I$7=$E27,$F27=1),중요_시점_표식,"")),"")</f>
        <v/>
      </c>
      <c r="J27" s="26" t="str">
        <f ca="1">IFERROR(IF(LEN(중요_시점3[[#This Row],[요일]])=0,"",IF(AND(J$7=$E27,$F27=1),중요_시점_표식,"")),"")</f>
        <v/>
      </c>
      <c r="K27" s="26" t="str">
        <f ca="1">IFERROR(IF(LEN(중요_시점3[[#This Row],[요일]])=0,"",IF(AND(K$7=$E27,$F27=1),중요_시점_표식,"")),"")</f>
        <v/>
      </c>
      <c r="L27" s="26" t="str">
        <f ca="1">IFERROR(IF(LEN(중요_시점3[[#This Row],[요일]])=0,"",IF(AND(L$7=$E27,$F27=1),중요_시점_표식,"")),"")</f>
        <v/>
      </c>
      <c r="M27" s="26" t="str">
        <f ca="1">IFERROR(IF(LEN(중요_시점3[[#This Row],[요일]])=0,"",IF(AND(M$7=$E27,$F27=1),중요_시점_표식,"")),"")</f>
        <v/>
      </c>
      <c r="N27" s="26" t="str">
        <f ca="1">IFERROR(IF(LEN(중요_시점3[[#This Row],[요일]])=0,"",IF(AND(N$7=$E27,$F27=1),중요_시점_표식,"")),"")</f>
        <v/>
      </c>
      <c r="O27" s="26" t="str">
        <f ca="1">IFERROR(IF(LEN(중요_시점3[[#This Row],[요일]])=0,"",IF(AND(O$7=$E27,$F27=1),중요_시점_표식,"")),"")</f>
        <v/>
      </c>
      <c r="P27" s="26" t="str">
        <f ca="1">IFERROR(IF(LEN(중요_시점3[[#This Row],[요일]])=0,"",IF(AND(P$7=$E27,$F27=1),중요_시점_표식,"")),"")</f>
        <v/>
      </c>
      <c r="Q27" s="26" t="str">
        <f ca="1">IFERROR(IF(LEN(중요_시점3[[#This Row],[요일]])=0,"",IF(AND(Q$7=$E27,$F27=1),중요_시점_표식,"")),"")</f>
        <v/>
      </c>
      <c r="R27" s="26" t="str">
        <f ca="1">IFERROR(IF(LEN(중요_시점3[[#This Row],[요일]])=0,"",IF(AND(R$7=$E27,$F27=1),중요_시점_표식,"")),"")</f>
        <v/>
      </c>
      <c r="S27" s="26" t="str">
        <f ca="1">IFERROR(IF(LEN(중요_시점3[[#This Row],[요일]])=0,"",IF(AND(S$7=$E27,$F27=1),중요_시점_표식,"")),"")</f>
        <v/>
      </c>
      <c r="T27" s="26" t="str">
        <f ca="1">IFERROR(IF(LEN(중요_시점3[[#This Row],[요일]])=0,"",IF(AND(T$7=$E27,$F27=1),중요_시점_표식,"")),"")</f>
        <v/>
      </c>
      <c r="U27" s="26" t="str">
        <f ca="1">IFERROR(IF(LEN(중요_시점3[[#This Row],[요일]])=0,"",IF(AND(U$7=$E27,$F27=1),중요_시점_표식,"")),"")</f>
        <v/>
      </c>
      <c r="V27" s="26" t="str">
        <f ca="1">IFERROR(IF(LEN(중요_시점3[[#This Row],[요일]])=0,"",IF(AND(V$7=$E27,$F27=1),중요_시점_표식,"")),"")</f>
        <v/>
      </c>
      <c r="W27" s="26" t="str">
        <f ca="1">IFERROR(IF(LEN(중요_시점3[[#This Row],[요일]])=0,"",IF(AND(W$7=$E27,$F27=1),중요_시점_표식,"")),"")</f>
        <v/>
      </c>
      <c r="X27" s="26" t="str">
        <f ca="1">IFERROR(IF(LEN(중요_시점3[[#This Row],[요일]])=0,"",IF(AND(X$7=$E27,$F27=1),중요_시점_표식,"")),"")</f>
        <v/>
      </c>
      <c r="Y27" s="26" t="str">
        <f ca="1">IFERROR(IF(LEN(중요_시점3[[#This Row],[요일]])=0,"",IF(AND(Y$7=$E27,$F27=1),중요_시점_표식,"")),"")</f>
        <v/>
      </c>
      <c r="Z27" s="26" t="str">
        <f ca="1">IFERROR(IF(LEN(중요_시점3[[#This Row],[요일]])=0,"",IF(AND(Z$7=$E27,$F27=1),중요_시점_표식,"")),"")</f>
        <v/>
      </c>
      <c r="AA27" s="26" t="str">
        <f ca="1">IFERROR(IF(LEN(중요_시점3[[#This Row],[요일]])=0,"",IF(AND(AA$7=$E27,$F27=1),중요_시점_표식,"")),"")</f>
        <v/>
      </c>
      <c r="AB27" s="26" t="str">
        <f ca="1">IFERROR(IF(LEN(중요_시점3[[#This Row],[요일]])=0,"",IF(AND(AB$7=$E27,$F27=1),중요_시점_표식,"")),"")</f>
        <v/>
      </c>
      <c r="AC27" s="26" t="str">
        <f ca="1">IFERROR(IF(LEN(중요_시점3[[#This Row],[요일]])=0,"",IF(AND(AC$7=$E27,$F27=1),중요_시점_표식,"")),"")</f>
        <v/>
      </c>
      <c r="AD27" s="26" t="str">
        <f ca="1">IFERROR(IF(LEN(중요_시점3[[#This Row],[요일]])=0,"",IF(AND(AD$7=$E27,$F27=1),중요_시점_표식,"")),"")</f>
        <v/>
      </c>
      <c r="AE27" s="26" t="str">
        <f ca="1">IFERROR(IF(LEN(중요_시점3[[#This Row],[요일]])=0,"",IF(AND(AE$7=$E27,$F27=1),중요_시점_표식,"")),"")</f>
        <v/>
      </c>
      <c r="AF27" s="26" t="str">
        <f ca="1">IFERROR(IF(LEN(중요_시점3[[#This Row],[요일]])=0,"",IF(AND(AF$7=$E27,$F27=1),중요_시점_표식,"")),"")</f>
        <v/>
      </c>
      <c r="AG27" s="26" t="str">
        <f ca="1">IFERROR(IF(LEN(중요_시점3[[#This Row],[요일]])=0,"",IF(AND(AG$7=$E27,$F27=1),중요_시점_표식,"")),"")</f>
        <v/>
      </c>
      <c r="AH27" s="26" t="str">
        <f ca="1">IFERROR(IF(LEN(중요_시점3[[#This Row],[요일]])=0,"",IF(AND(AH$7=$E27,$F27=1),중요_시점_표식,"")),"")</f>
        <v/>
      </c>
      <c r="AI27" s="26" t="str">
        <f ca="1">IFERROR(IF(LEN(중요_시점3[[#This Row],[요일]])=0,"",IF(AND(AI$7=$E27,$F27=1),중요_시점_표식,"")),"")</f>
        <v/>
      </c>
      <c r="AJ27" s="26" t="str">
        <f ca="1">IFERROR(IF(LEN(중요_시점3[[#This Row],[요일]])=0,"",IF(AND(AJ$7=$E27,$F27=1),중요_시점_표식,"")),"")</f>
        <v/>
      </c>
      <c r="AK27" s="26" t="str">
        <f ca="1">IFERROR(IF(LEN(중요_시점3[[#This Row],[요일]])=0,"",IF(AND(AK$7=$E27,$F27=1),중요_시점_표식,"")),"")</f>
        <v/>
      </c>
      <c r="AL27" s="26" t="str">
        <f ca="1">IFERROR(IF(LEN(중요_시점3[[#This Row],[요일]])=0,"",IF(AND(AL$7=$E27,$F27=1),중요_시점_표식,"")),"")</f>
        <v/>
      </c>
      <c r="AM27" s="26" t="str">
        <f ca="1">IFERROR(IF(LEN(중요_시점3[[#This Row],[요일]])=0,"",IF(AND(AM$7=$E27,$F27=1),중요_시점_표식,"")),"")</f>
        <v/>
      </c>
      <c r="AN27" s="26" t="str">
        <f ca="1">IFERROR(IF(LEN(중요_시점3[[#This Row],[요일]])=0,"",IF(AND(AN$7=$E27,$F27=1),중요_시점_표식,"")),"")</f>
        <v/>
      </c>
      <c r="AO27" s="26" t="str">
        <f ca="1">IFERROR(IF(LEN(중요_시점3[[#This Row],[요일]])=0,"",IF(AND(AO$7=$E27,$F27=1),중요_시점_표식,"")),"")</f>
        <v/>
      </c>
      <c r="AP27" s="26" t="str">
        <f ca="1">IFERROR(IF(LEN(중요_시점3[[#This Row],[요일]])=0,"",IF(AND(AP$7=$E27,$F27=1),중요_시점_표식,"")),"")</f>
        <v/>
      </c>
      <c r="AQ27" s="26" t="str">
        <f ca="1">IFERROR(IF(LEN(중요_시점3[[#This Row],[요일]])=0,"",IF(AND(AQ$7=$E27,$F27=1),중요_시점_표식,"")),"")</f>
        <v/>
      </c>
      <c r="AR27" s="26" t="str">
        <f ca="1">IFERROR(IF(LEN(중요_시점3[[#This Row],[요일]])=0,"",IF(AND(AR$7=$E27,$F27=1),중요_시점_표식,"")),"")</f>
        <v/>
      </c>
      <c r="AS27" s="26" t="str">
        <f ca="1">IFERROR(IF(LEN(중요_시점3[[#This Row],[요일]])=0,"",IF(AND(AS$7=$E27,$F27=1),중요_시점_표식,"")),"")</f>
        <v/>
      </c>
      <c r="AT27" s="26" t="str">
        <f ca="1">IFERROR(IF(LEN(중요_시점3[[#This Row],[요일]])=0,"",IF(AND(AT$7=$E27,$F27=1),중요_시점_표식,"")),"")</f>
        <v/>
      </c>
      <c r="AU27" s="26" t="str">
        <f ca="1">IFERROR(IF(LEN(중요_시점3[[#This Row],[요일]])=0,"",IF(AND(AU$7=$E27,$F27=1),중요_시점_표식,"")),"")</f>
        <v/>
      </c>
      <c r="AV27" s="26" t="str">
        <f ca="1">IFERROR(IF(LEN(중요_시점3[[#This Row],[요일]])=0,"",IF(AND(AV$7=$E27,$F27=1),중요_시점_표식,"")),"")</f>
        <v/>
      </c>
      <c r="AW27" s="26" t="str">
        <f ca="1">IFERROR(IF(LEN(중요_시점3[[#This Row],[요일]])=0,"",IF(AND(AW$7=$E27,$F27=1),중요_시점_표식,"")),"")</f>
        <v/>
      </c>
      <c r="AX27" s="26" t="str">
        <f ca="1">IFERROR(IF(LEN(중요_시점3[[#This Row],[요일]])=0,"",IF(AND(AX$7=$E27,$F27=1),중요_시점_표식,"")),"")</f>
        <v/>
      </c>
      <c r="AY27" s="26" t="str">
        <f ca="1">IFERROR(IF(LEN(중요_시점3[[#This Row],[요일]])=0,"",IF(AND(AY$7=$E27,$F27=1),중요_시점_표식,"")),"")</f>
        <v/>
      </c>
      <c r="AZ27" s="26" t="str">
        <f ca="1">IFERROR(IF(LEN(중요_시점3[[#This Row],[요일]])=0,"",IF(AND(AZ$7=$E27,$F27=1),중요_시점_표식,"")),"")</f>
        <v/>
      </c>
      <c r="BA27" s="26" t="str">
        <f ca="1">IFERROR(IF(LEN(중요_시점3[[#This Row],[요일]])=0,"",IF(AND(BA$7=$E27,$F27=1),중요_시점_표식,"")),"")</f>
        <v/>
      </c>
      <c r="BB27" s="26" t="str">
        <f ca="1">IFERROR(IF(LEN(중요_시점3[[#This Row],[요일]])=0,"",IF(AND(BB$7=$E27,$F27=1),중요_시점_표식,"")),"")</f>
        <v/>
      </c>
      <c r="BC27" s="26" t="str">
        <f ca="1">IFERROR(IF(LEN(중요_시점3[[#This Row],[요일]])=0,"",IF(AND(BC$7=$E27,$F27=1),중요_시점_표식,"")),"")</f>
        <v/>
      </c>
      <c r="BD27" s="26" t="str">
        <f ca="1">IFERROR(IF(LEN(중요_시점3[[#This Row],[요일]])=0,"",IF(AND(BD$7=$E27,$F27=1),중요_시점_표식,"")),"")</f>
        <v/>
      </c>
      <c r="BE27" s="26" t="str">
        <f ca="1">IFERROR(IF(LEN(중요_시점3[[#This Row],[요일]])=0,"",IF(AND(BE$7=$E27,$F27=1),중요_시점_표식,"")),"")</f>
        <v/>
      </c>
      <c r="BF27" s="26" t="str">
        <f ca="1">IFERROR(IF(LEN(중요_시점3[[#This Row],[요일]])=0,"",IF(AND(BF$7=$E27,$F27=1),중요_시점_표식,"")),"")</f>
        <v/>
      </c>
      <c r="BG27" s="26" t="str">
        <f ca="1">IFERROR(IF(LEN(중요_시점3[[#This Row],[요일]])=0,"",IF(AND(BG$7=$E27,$F27=1),중요_시점_표식,"")),"")</f>
        <v/>
      </c>
      <c r="BH27" s="26" t="str">
        <f ca="1">IFERROR(IF(LEN(중요_시점3[[#This Row],[요일]])=0,"",IF(AND(BH$7=$E27,$F27=1),중요_시점_표식,"")),"")</f>
        <v/>
      </c>
      <c r="BI27" s="26" t="str">
        <f ca="1">IFERROR(IF(LEN(중요_시점3[[#This Row],[요일]])=0,"",IF(AND(BI$7=$E27,$F27=1),중요_시점_표식,"")),"")</f>
        <v/>
      </c>
      <c r="BJ27" s="26" t="str">
        <f ca="1">IFERROR(IF(LEN(중요_시점3[[#This Row],[요일]])=0,"",IF(AND(BJ$7=$E27,$F27=1),중요_시점_표식,"")),"")</f>
        <v/>
      </c>
      <c r="BK27" s="26" t="str">
        <f ca="1">IFERROR(IF(LEN(중요_시점3[[#This Row],[요일]])=0,"",IF(AND(BK$7=$E27,$F27=1),중요_시점_표식,"")),"")</f>
        <v/>
      </c>
    </row>
    <row r="28" spans="1:63" s="1" customFormat="1" ht="30" customHeight="1">
      <c r="A28" s="5"/>
      <c r="B28" s="40" t="s">
        <v>17</v>
      </c>
      <c r="C28" s="13"/>
      <c r="D28" s="44"/>
      <c r="E28" s="42"/>
      <c r="F28" s="12"/>
      <c r="G28" s="27"/>
      <c r="H28" s="26" t="str">
        <f>IFERROR(IF(LEN(중요_시점3[[#This Row],[요일]])=0,"",IF(AND(H$7=$E28,$F28=1),중요_시점_표식,"")),"")</f>
        <v/>
      </c>
      <c r="I28" s="26" t="str">
        <f>IFERROR(IF(LEN(중요_시점3[[#This Row],[요일]])=0,"",IF(AND(I$7=$E28,$F28=1),중요_시점_표식,"")),"")</f>
        <v/>
      </c>
      <c r="J28" s="26" t="str">
        <f>IFERROR(IF(LEN(중요_시점3[[#This Row],[요일]])=0,"",IF(AND(J$7=$E28,$F28=1),중요_시점_표식,"")),"")</f>
        <v/>
      </c>
      <c r="K28" s="26" t="str">
        <f>IFERROR(IF(LEN(중요_시점3[[#This Row],[요일]])=0,"",IF(AND(K$7=$E28,$F28=1),중요_시점_표식,"")),"")</f>
        <v/>
      </c>
      <c r="L28" s="26" t="str">
        <f>IFERROR(IF(LEN(중요_시점3[[#This Row],[요일]])=0,"",IF(AND(L$7=$E28,$F28=1),중요_시점_표식,"")),"")</f>
        <v/>
      </c>
      <c r="M28" s="26" t="str">
        <f>IFERROR(IF(LEN(중요_시점3[[#This Row],[요일]])=0,"",IF(AND(M$7=$E28,$F28=1),중요_시점_표식,"")),"")</f>
        <v/>
      </c>
      <c r="N28" s="26" t="str">
        <f>IFERROR(IF(LEN(중요_시점3[[#This Row],[요일]])=0,"",IF(AND(N$7=$E28,$F28=1),중요_시점_표식,"")),"")</f>
        <v/>
      </c>
      <c r="O28" s="26" t="str">
        <f>IFERROR(IF(LEN(중요_시점3[[#This Row],[요일]])=0,"",IF(AND(O$7=$E28,$F28=1),중요_시점_표식,"")),"")</f>
        <v/>
      </c>
      <c r="P28" s="26" t="str">
        <f>IFERROR(IF(LEN(중요_시점3[[#This Row],[요일]])=0,"",IF(AND(P$7=$E28,$F28=1),중요_시점_표식,"")),"")</f>
        <v/>
      </c>
      <c r="Q28" s="26" t="str">
        <f>IFERROR(IF(LEN(중요_시점3[[#This Row],[요일]])=0,"",IF(AND(Q$7=$E28,$F28=1),중요_시점_표식,"")),"")</f>
        <v/>
      </c>
      <c r="R28" s="26" t="str">
        <f>IFERROR(IF(LEN(중요_시점3[[#This Row],[요일]])=0,"",IF(AND(R$7=$E28,$F28=1),중요_시점_표식,"")),"")</f>
        <v/>
      </c>
      <c r="S28" s="26" t="str">
        <f>IFERROR(IF(LEN(중요_시점3[[#This Row],[요일]])=0,"",IF(AND(S$7=$E28,$F28=1),중요_시점_표식,"")),"")</f>
        <v/>
      </c>
      <c r="T28" s="26" t="str">
        <f>IFERROR(IF(LEN(중요_시점3[[#This Row],[요일]])=0,"",IF(AND(T$7=$E28,$F28=1),중요_시점_표식,"")),"")</f>
        <v/>
      </c>
      <c r="U28" s="26" t="str">
        <f>IFERROR(IF(LEN(중요_시점3[[#This Row],[요일]])=0,"",IF(AND(U$7=$E28,$F28=1),중요_시점_표식,"")),"")</f>
        <v/>
      </c>
      <c r="V28" s="26" t="str">
        <f>IFERROR(IF(LEN(중요_시점3[[#This Row],[요일]])=0,"",IF(AND(V$7=$E28,$F28=1),중요_시점_표식,"")),"")</f>
        <v/>
      </c>
      <c r="W28" s="26" t="str">
        <f>IFERROR(IF(LEN(중요_시점3[[#This Row],[요일]])=0,"",IF(AND(W$7=$E28,$F28=1),중요_시점_표식,"")),"")</f>
        <v/>
      </c>
      <c r="X28" s="26" t="str">
        <f>IFERROR(IF(LEN(중요_시점3[[#This Row],[요일]])=0,"",IF(AND(X$7=$E28,$F28=1),중요_시점_표식,"")),"")</f>
        <v/>
      </c>
      <c r="Y28" s="26" t="str">
        <f>IFERROR(IF(LEN(중요_시점3[[#This Row],[요일]])=0,"",IF(AND(Y$7=$E28,$F28=1),중요_시점_표식,"")),"")</f>
        <v/>
      </c>
      <c r="Z28" s="26" t="str">
        <f>IFERROR(IF(LEN(중요_시점3[[#This Row],[요일]])=0,"",IF(AND(Z$7=$E28,$F28=1),중요_시점_표식,"")),"")</f>
        <v/>
      </c>
      <c r="AA28" s="26" t="str">
        <f>IFERROR(IF(LEN(중요_시점3[[#This Row],[요일]])=0,"",IF(AND(AA$7=$E28,$F28=1),중요_시점_표식,"")),"")</f>
        <v/>
      </c>
      <c r="AB28" s="26" t="str">
        <f>IFERROR(IF(LEN(중요_시점3[[#This Row],[요일]])=0,"",IF(AND(AB$7=$E28,$F28=1),중요_시점_표식,"")),"")</f>
        <v/>
      </c>
      <c r="AC28" s="26" t="str">
        <f>IFERROR(IF(LEN(중요_시점3[[#This Row],[요일]])=0,"",IF(AND(AC$7=$E28,$F28=1),중요_시점_표식,"")),"")</f>
        <v/>
      </c>
      <c r="AD28" s="26" t="str">
        <f>IFERROR(IF(LEN(중요_시점3[[#This Row],[요일]])=0,"",IF(AND(AD$7=$E28,$F28=1),중요_시점_표식,"")),"")</f>
        <v/>
      </c>
      <c r="AE28" s="26" t="str">
        <f>IFERROR(IF(LEN(중요_시점3[[#This Row],[요일]])=0,"",IF(AND(AE$7=$E28,$F28=1),중요_시점_표식,"")),"")</f>
        <v/>
      </c>
      <c r="AF28" s="26" t="str">
        <f>IFERROR(IF(LEN(중요_시점3[[#This Row],[요일]])=0,"",IF(AND(AF$7=$E28,$F28=1),중요_시점_표식,"")),"")</f>
        <v/>
      </c>
      <c r="AG28" s="26" t="str">
        <f>IFERROR(IF(LEN(중요_시점3[[#This Row],[요일]])=0,"",IF(AND(AG$7=$E28,$F28=1),중요_시점_표식,"")),"")</f>
        <v/>
      </c>
      <c r="AH28" s="26" t="str">
        <f>IFERROR(IF(LEN(중요_시점3[[#This Row],[요일]])=0,"",IF(AND(AH$7=$E28,$F28=1),중요_시점_표식,"")),"")</f>
        <v/>
      </c>
      <c r="AI28" s="26" t="str">
        <f>IFERROR(IF(LEN(중요_시점3[[#This Row],[요일]])=0,"",IF(AND(AI$7=$E28,$F28=1),중요_시점_표식,"")),"")</f>
        <v/>
      </c>
      <c r="AJ28" s="26" t="str">
        <f>IFERROR(IF(LEN(중요_시점3[[#This Row],[요일]])=0,"",IF(AND(AJ$7=$E28,$F28=1),중요_시점_표식,"")),"")</f>
        <v/>
      </c>
      <c r="AK28" s="26" t="str">
        <f>IFERROR(IF(LEN(중요_시점3[[#This Row],[요일]])=0,"",IF(AND(AK$7=$E28,$F28=1),중요_시점_표식,"")),"")</f>
        <v/>
      </c>
      <c r="AL28" s="26" t="str">
        <f>IFERROR(IF(LEN(중요_시점3[[#This Row],[요일]])=0,"",IF(AND(AL$7=$E28,$F28=1),중요_시점_표식,"")),"")</f>
        <v/>
      </c>
      <c r="AM28" s="26" t="str">
        <f>IFERROR(IF(LEN(중요_시점3[[#This Row],[요일]])=0,"",IF(AND(AM$7=$E28,$F28=1),중요_시점_표식,"")),"")</f>
        <v/>
      </c>
      <c r="AN28" s="26" t="str">
        <f>IFERROR(IF(LEN(중요_시점3[[#This Row],[요일]])=0,"",IF(AND(AN$7=$E28,$F28=1),중요_시점_표식,"")),"")</f>
        <v/>
      </c>
      <c r="AO28" s="26" t="str">
        <f>IFERROR(IF(LEN(중요_시점3[[#This Row],[요일]])=0,"",IF(AND(AO$7=$E28,$F28=1),중요_시점_표식,"")),"")</f>
        <v/>
      </c>
      <c r="AP28" s="26" t="str">
        <f>IFERROR(IF(LEN(중요_시점3[[#This Row],[요일]])=0,"",IF(AND(AP$7=$E28,$F28=1),중요_시점_표식,"")),"")</f>
        <v/>
      </c>
      <c r="AQ28" s="26" t="str">
        <f>IFERROR(IF(LEN(중요_시점3[[#This Row],[요일]])=0,"",IF(AND(AQ$7=$E28,$F28=1),중요_시점_표식,"")),"")</f>
        <v/>
      </c>
      <c r="AR28" s="26" t="str">
        <f>IFERROR(IF(LEN(중요_시점3[[#This Row],[요일]])=0,"",IF(AND(AR$7=$E28,$F28=1),중요_시점_표식,"")),"")</f>
        <v/>
      </c>
      <c r="AS28" s="26" t="str">
        <f>IFERROR(IF(LEN(중요_시점3[[#This Row],[요일]])=0,"",IF(AND(AS$7=$E28,$F28=1),중요_시점_표식,"")),"")</f>
        <v/>
      </c>
      <c r="AT28" s="26" t="str">
        <f>IFERROR(IF(LEN(중요_시점3[[#This Row],[요일]])=0,"",IF(AND(AT$7=$E28,$F28=1),중요_시점_표식,"")),"")</f>
        <v/>
      </c>
      <c r="AU28" s="26" t="str">
        <f>IFERROR(IF(LEN(중요_시점3[[#This Row],[요일]])=0,"",IF(AND(AU$7=$E28,$F28=1),중요_시점_표식,"")),"")</f>
        <v/>
      </c>
      <c r="AV28" s="26" t="str">
        <f>IFERROR(IF(LEN(중요_시점3[[#This Row],[요일]])=0,"",IF(AND(AV$7=$E28,$F28=1),중요_시점_표식,"")),"")</f>
        <v/>
      </c>
      <c r="AW28" s="26" t="str">
        <f>IFERROR(IF(LEN(중요_시점3[[#This Row],[요일]])=0,"",IF(AND(AW$7=$E28,$F28=1),중요_시점_표식,"")),"")</f>
        <v/>
      </c>
      <c r="AX28" s="26" t="str">
        <f>IFERROR(IF(LEN(중요_시점3[[#This Row],[요일]])=0,"",IF(AND(AX$7=$E28,$F28=1),중요_시점_표식,"")),"")</f>
        <v/>
      </c>
      <c r="AY28" s="26" t="str">
        <f>IFERROR(IF(LEN(중요_시점3[[#This Row],[요일]])=0,"",IF(AND(AY$7=$E28,$F28=1),중요_시점_표식,"")),"")</f>
        <v/>
      </c>
      <c r="AZ28" s="26" t="str">
        <f>IFERROR(IF(LEN(중요_시점3[[#This Row],[요일]])=0,"",IF(AND(AZ$7=$E28,$F28=1),중요_시점_표식,"")),"")</f>
        <v/>
      </c>
      <c r="BA28" s="26" t="str">
        <f>IFERROR(IF(LEN(중요_시점3[[#This Row],[요일]])=0,"",IF(AND(BA$7=$E28,$F28=1),중요_시점_표식,"")),"")</f>
        <v/>
      </c>
      <c r="BB28" s="26" t="str">
        <f>IFERROR(IF(LEN(중요_시점3[[#This Row],[요일]])=0,"",IF(AND(BB$7=$E28,$F28=1),중요_시점_표식,"")),"")</f>
        <v/>
      </c>
      <c r="BC28" s="26" t="str">
        <f>IFERROR(IF(LEN(중요_시점3[[#This Row],[요일]])=0,"",IF(AND(BC$7=$E28,$F28=1),중요_시점_표식,"")),"")</f>
        <v/>
      </c>
      <c r="BD28" s="26" t="str">
        <f>IFERROR(IF(LEN(중요_시점3[[#This Row],[요일]])=0,"",IF(AND(BD$7=$E28,$F28=1),중요_시점_표식,"")),"")</f>
        <v/>
      </c>
      <c r="BE28" s="26" t="str">
        <f>IFERROR(IF(LEN(중요_시점3[[#This Row],[요일]])=0,"",IF(AND(BE$7=$E28,$F28=1),중요_시점_표식,"")),"")</f>
        <v/>
      </c>
      <c r="BF28" s="26" t="str">
        <f>IFERROR(IF(LEN(중요_시점3[[#This Row],[요일]])=0,"",IF(AND(BF$7=$E28,$F28=1),중요_시점_표식,"")),"")</f>
        <v/>
      </c>
      <c r="BG28" s="26" t="str">
        <f>IFERROR(IF(LEN(중요_시점3[[#This Row],[요일]])=0,"",IF(AND(BG$7=$E28,$F28=1),중요_시점_표식,"")),"")</f>
        <v/>
      </c>
      <c r="BH28" s="26" t="str">
        <f>IFERROR(IF(LEN(중요_시점3[[#This Row],[요일]])=0,"",IF(AND(BH$7=$E28,$F28=1),중요_시점_표식,"")),"")</f>
        <v/>
      </c>
      <c r="BI28" s="26" t="str">
        <f>IFERROR(IF(LEN(중요_시점3[[#This Row],[요일]])=0,"",IF(AND(BI$7=$E28,$F28=1),중요_시점_표식,"")),"")</f>
        <v/>
      </c>
      <c r="BJ28" s="26" t="str">
        <f>IFERROR(IF(LEN(중요_시점3[[#This Row],[요일]])=0,"",IF(AND(BJ$7=$E28,$F28=1),중요_시점_표식,"")),"")</f>
        <v/>
      </c>
      <c r="BK28" s="26" t="str">
        <f>IFERROR(IF(LEN(중요_시점3[[#This Row],[요일]])=0,"",IF(AND(BK$7=$E28,$F28=1),중요_시점_표식,"")),"")</f>
        <v/>
      </c>
    </row>
    <row r="29" spans="1:63" s="1" customFormat="1" ht="30" customHeight="1" outlineLevel="1">
      <c r="A29" s="5"/>
      <c r="B29" s="49" t="s">
        <v>10</v>
      </c>
      <c r="C29" s="13"/>
      <c r="D29" s="81"/>
      <c r="E29" s="42">
        <f ca="1">TODAY()+37</f>
        <v>44625</v>
      </c>
      <c r="F29" s="12">
        <v>15</v>
      </c>
      <c r="G29" s="27"/>
      <c r="H29" s="26" t="str">
        <f ca="1">IFERROR(IF(LEN(중요_시점3[[#This Row],[요일]])=0,"",IF(AND(H$7=$E29,$F29=1),중요_시점_표식,"")),"")</f>
        <v/>
      </c>
      <c r="I29" s="26" t="str">
        <f ca="1">IFERROR(IF(LEN(중요_시점3[[#This Row],[요일]])=0,"",IF(AND(I$7=$E29,$F29=1),중요_시점_표식,"")),"")</f>
        <v/>
      </c>
      <c r="J29" s="26" t="str">
        <f ca="1">IFERROR(IF(LEN(중요_시점3[[#This Row],[요일]])=0,"",IF(AND(J$7=$E29,$F29=1),중요_시점_표식,"")),"")</f>
        <v/>
      </c>
      <c r="K29" s="26" t="str">
        <f ca="1">IFERROR(IF(LEN(중요_시점3[[#This Row],[요일]])=0,"",IF(AND(K$7=$E29,$F29=1),중요_시점_표식,"")),"")</f>
        <v/>
      </c>
      <c r="L29" s="26" t="str">
        <f ca="1">IFERROR(IF(LEN(중요_시점3[[#This Row],[요일]])=0,"",IF(AND(L$7=$E29,$F29=1),중요_시점_표식,"")),"")</f>
        <v/>
      </c>
      <c r="M29" s="26" t="str">
        <f ca="1">IFERROR(IF(LEN(중요_시점3[[#This Row],[요일]])=0,"",IF(AND(M$7=$E29,$F29=1),중요_시점_표식,"")),"")</f>
        <v/>
      </c>
      <c r="N29" s="26" t="str">
        <f ca="1">IFERROR(IF(LEN(중요_시점3[[#This Row],[요일]])=0,"",IF(AND(N$7=$E29,$F29=1),중요_시점_표식,"")),"")</f>
        <v/>
      </c>
      <c r="O29" s="26" t="str">
        <f ca="1">IFERROR(IF(LEN(중요_시점3[[#This Row],[요일]])=0,"",IF(AND(O$7=$E29,$F29=1),중요_시점_표식,"")),"")</f>
        <v/>
      </c>
      <c r="P29" s="26" t="str">
        <f ca="1">IFERROR(IF(LEN(중요_시점3[[#This Row],[요일]])=0,"",IF(AND(P$7=$E29,$F29=1),중요_시점_표식,"")),"")</f>
        <v/>
      </c>
      <c r="Q29" s="26" t="str">
        <f ca="1">IFERROR(IF(LEN(중요_시점3[[#This Row],[요일]])=0,"",IF(AND(Q$7=$E29,$F29=1),중요_시점_표식,"")),"")</f>
        <v/>
      </c>
      <c r="R29" s="26" t="str">
        <f ca="1">IFERROR(IF(LEN(중요_시점3[[#This Row],[요일]])=0,"",IF(AND(R$7=$E29,$F29=1),중요_시점_표식,"")),"")</f>
        <v/>
      </c>
      <c r="S29" s="26" t="str">
        <f ca="1">IFERROR(IF(LEN(중요_시점3[[#This Row],[요일]])=0,"",IF(AND(S$7=$E29,$F29=1),중요_시점_표식,"")),"")</f>
        <v/>
      </c>
      <c r="T29" s="26" t="str">
        <f ca="1">IFERROR(IF(LEN(중요_시점3[[#This Row],[요일]])=0,"",IF(AND(T$7=$E29,$F29=1),중요_시점_표식,"")),"")</f>
        <v/>
      </c>
      <c r="U29" s="26" t="str">
        <f ca="1">IFERROR(IF(LEN(중요_시점3[[#This Row],[요일]])=0,"",IF(AND(U$7=$E29,$F29=1),중요_시점_표식,"")),"")</f>
        <v/>
      </c>
      <c r="V29" s="26" t="str">
        <f ca="1">IFERROR(IF(LEN(중요_시점3[[#This Row],[요일]])=0,"",IF(AND(V$7=$E29,$F29=1),중요_시점_표식,"")),"")</f>
        <v/>
      </c>
      <c r="W29" s="26" t="str">
        <f ca="1">IFERROR(IF(LEN(중요_시점3[[#This Row],[요일]])=0,"",IF(AND(W$7=$E29,$F29=1),중요_시점_표식,"")),"")</f>
        <v/>
      </c>
      <c r="X29" s="26" t="str">
        <f ca="1">IFERROR(IF(LEN(중요_시점3[[#This Row],[요일]])=0,"",IF(AND(X$7=$E29,$F29=1),중요_시점_표식,"")),"")</f>
        <v/>
      </c>
      <c r="Y29" s="26" t="str">
        <f ca="1">IFERROR(IF(LEN(중요_시점3[[#This Row],[요일]])=0,"",IF(AND(Y$7=$E29,$F29=1),중요_시점_표식,"")),"")</f>
        <v/>
      </c>
      <c r="Z29" s="26" t="str">
        <f ca="1">IFERROR(IF(LEN(중요_시점3[[#This Row],[요일]])=0,"",IF(AND(Z$7=$E29,$F29=1),중요_시점_표식,"")),"")</f>
        <v/>
      </c>
      <c r="AA29" s="26" t="str">
        <f ca="1">IFERROR(IF(LEN(중요_시점3[[#This Row],[요일]])=0,"",IF(AND(AA$7=$E29,$F29=1),중요_시점_표식,"")),"")</f>
        <v/>
      </c>
      <c r="AB29" s="26" t="str">
        <f ca="1">IFERROR(IF(LEN(중요_시점3[[#This Row],[요일]])=0,"",IF(AND(AB$7=$E29,$F29=1),중요_시점_표식,"")),"")</f>
        <v/>
      </c>
      <c r="AC29" s="26" t="str">
        <f ca="1">IFERROR(IF(LEN(중요_시점3[[#This Row],[요일]])=0,"",IF(AND(AC$7=$E29,$F29=1),중요_시점_표식,"")),"")</f>
        <v/>
      </c>
      <c r="AD29" s="26" t="str">
        <f ca="1">IFERROR(IF(LEN(중요_시점3[[#This Row],[요일]])=0,"",IF(AND(AD$7=$E29,$F29=1),중요_시점_표식,"")),"")</f>
        <v/>
      </c>
      <c r="AE29" s="26" t="str">
        <f ca="1">IFERROR(IF(LEN(중요_시점3[[#This Row],[요일]])=0,"",IF(AND(AE$7=$E29,$F29=1),중요_시점_표식,"")),"")</f>
        <v/>
      </c>
      <c r="AF29" s="26" t="str">
        <f ca="1">IFERROR(IF(LEN(중요_시점3[[#This Row],[요일]])=0,"",IF(AND(AF$7=$E29,$F29=1),중요_시점_표식,"")),"")</f>
        <v/>
      </c>
      <c r="AG29" s="26" t="str">
        <f ca="1">IFERROR(IF(LEN(중요_시점3[[#This Row],[요일]])=0,"",IF(AND(AG$7=$E29,$F29=1),중요_시점_표식,"")),"")</f>
        <v/>
      </c>
      <c r="AH29" s="26" t="str">
        <f ca="1">IFERROR(IF(LEN(중요_시점3[[#This Row],[요일]])=0,"",IF(AND(AH$7=$E29,$F29=1),중요_시점_표식,"")),"")</f>
        <v/>
      </c>
      <c r="AI29" s="26" t="str">
        <f ca="1">IFERROR(IF(LEN(중요_시점3[[#This Row],[요일]])=0,"",IF(AND(AI$7=$E29,$F29=1),중요_시점_표식,"")),"")</f>
        <v/>
      </c>
      <c r="AJ29" s="26" t="str">
        <f ca="1">IFERROR(IF(LEN(중요_시점3[[#This Row],[요일]])=0,"",IF(AND(AJ$7=$E29,$F29=1),중요_시점_표식,"")),"")</f>
        <v/>
      </c>
      <c r="AK29" s="26" t="str">
        <f ca="1">IFERROR(IF(LEN(중요_시점3[[#This Row],[요일]])=0,"",IF(AND(AK$7=$E29,$F29=1),중요_시점_표식,"")),"")</f>
        <v/>
      </c>
      <c r="AL29" s="26" t="str">
        <f ca="1">IFERROR(IF(LEN(중요_시점3[[#This Row],[요일]])=0,"",IF(AND(AL$7=$E29,$F29=1),중요_시점_표식,"")),"")</f>
        <v/>
      </c>
      <c r="AM29" s="26" t="str">
        <f ca="1">IFERROR(IF(LEN(중요_시점3[[#This Row],[요일]])=0,"",IF(AND(AM$7=$E29,$F29=1),중요_시점_표식,"")),"")</f>
        <v/>
      </c>
      <c r="AN29" s="26" t="str">
        <f ca="1">IFERROR(IF(LEN(중요_시점3[[#This Row],[요일]])=0,"",IF(AND(AN$7=$E29,$F29=1),중요_시점_표식,"")),"")</f>
        <v/>
      </c>
      <c r="AO29" s="26" t="str">
        <f ca="1">IFERROR(IF(LEN(중요_시점3[[#This Row],[요일]])=0,"",IF(AND(AO$7=$E29,$F29=1),중요_시점_표식,"")),"")</f>
        <v/>
      </c>
      <c r="AP29" s="26" t="str">
        <f ca="1">IFERROR(IF(LEN(중요_시점3[[#This Row],[요일]])=0,"",IF(AND(AP$7=$E29,$F29=1),중요_시점_표식,"")),"")</f>
        <v/>
      </c>
      <c r="AQ29" s="26" t="str">
        <f ca="1">IFERROR(IF(LEN(중요_시점3[[#This Row],[요일]])=0,"",IF(AND(AQ$7=$E29,$F29=1),중요_시점_표식,"")),"")</f>
        <v/>
      </c>
      <c r="AR29" s="26" t="str">
        <f ca="1">IFERROR(IF(LEN(중요_시점3[[#This Row],[요일]])=0,"",IF(AND(AR$7=$E29,$F29=1),중요_시점_표식,"")),"")</f>
        <v/>
      </c>
      <c r="AS29" s="26" t="str">
        <f ca="1">IFERROR(IF(LEN(중요_시점3[[#This Row],[요일]])=0,"",IF(AND(AS$7=$E29,$F29=1),중요_시점_표식,"")),"")</f>
        <v/>
      </c>
      <c r="AT29" s="26" t="str">
        <f ca="1">IFERROR(IF(LEN(중요_시점3[[#This Row],[요일]])=0,"",IF(AND(AT$7=$E29,$F29=1),중요_시점_표식,"")),"")</f>
        <v/>
      </c>
      <c r="AU29" s="26" t="str">
        <f ca="1">IFERROR(IF(LEN(중요_시점3[[#This Row],[요일]])=0,"",IF(AND(AU$7=$E29,$F29=1),중요_시점_표식,"")),"")</f>
        <v/>
      </c>
      <c r="AV29" s="26" t="str">
        <f ca="1">IFERROR(IF(LEN(중요_시점3[[#This Row],[요일]])=0,"",IF(AND(AV$7=$E29,$F29=1),중요_시점_표식,"")),"")</f>
        <v/>
      </c>
      <c r="AW29" s="26" t="str">
        <f ca="1">IFERROR(IF(LEN(중요_시점3[[#This Row],[요일]])=0,"",IF(AND(AW$7=$E29,$F29=1),중요_시점_표식,"")),"")</f>
        <v/>
      </c>
      <c r="AX29" s="26" t="str">
        <f ca="1">IFERROR(IF(LEN(중요_시점3[[#This Row],[요일]])=0,"",IF(AND(AX$7=$E29,$F29=1),중요_시점_표식,"")),"")</f>
        <v/>
      </c>
      <c r="AY29" s="26" t="str">
        <f ca="1">IFERROR(IF(LEN(중요_시점3[[#This Row],[요일]])=0,"",IF(AND(AY$7=$E29,$F29=1),중요_시점_표식,"")),"")</f>
        <v/>
      </c>
      <c r="AZ29" s="26" t="str">
        <f ca="1">IFERROR(IF(LEN(중요_시점3[[#This Row],[요일]])=0,"",IF(AND(AZ$7=$E29,$F29=1),중요_시점_표식,"")),"")</f>
        <v/>
      </c>
      <c r="BA29" s="26" t="str">
        <f ca="1">IFERROR(IF(LEN(중요_시점3[[#This Row],[요일]])=0,"",IF(AND(BA$7=$E29,$F29=1),중요_시점_표식,"")),"")</f>
        <v/>
      </c>
      <c r="BB29" s="26" t="str">
        <f ca="1">IFERROR(IF(LEN(중요_시점3[[#This Row],[요일]])=0,"",IF(AND(BB$7=$E29,$F29=1),중요_시점_표식,"")),"")</f>
        <v/>
      </c>
      <c r="BC29" s="26" t="str">
        <f ca="1">IFERROR(IF(LEN(중요_시점3[[#This Row],[요일]])=0,"",IF(AND(BC$7=$E29,$F29=1),중요_시점_표식,"")),"")</f>
        <v/>
      </c>
      <c r="BD29" s="26" t="str">
        <f ca="1">IFERROR(IF(LEN(중요_시점3[[#This Row],[요일]])=0,"",IF(AND(BD$7=$E29,$F29=1),중요_시점_표식,"")),"")</f>
        <v/>
      </c>
      <c r="BE29" s="26" t="str">
        <f ca="1">IFERROR(IF(LEN(중요_시점3[[#This Row],[요일]])=0,"",IF(AND(BE$7=$E29,$F29=1),중요_시점_표식,"")),"")</f>
        <v/>
      </c>
      <c r="BF29" s="26" t="str">
        <f ca="1">IFERROR(IF(LEN(중요_시점3[[#This Row],[요일]])=0,"",IF(AND(BF$7=$E29,$F29=1),중요_시점_표식,"")),"")</f>
        <v/>
      </c>
      <c r="BG29" s="26" t="str">
        <f ca="1">IFERROR(IF(LEN(중요_시점3[[#This Row],[요일]])=0,"",IF(AND(BG$7=$E29,$F29=1),중요_시점_표식,"")),"")</f>
        <v/>
      </c>
      <c r="BH29" s="26" t="str">
        <f ca="1">IFERROR(IF(LEN(중요_시점3[[#This Row],[요일]])=0,"",IF(AND(BH$7=$E29,$F29=1),중요_시점_표식,"")),"")</f>
        <v/>
      </c>
      <c r="BI29" s="26" t="str">
        <f ca="1">IFERROR(IF(LEN(중요_시점3[[#This Row],[요일]])=0,"",IF(AND(BI$7=$E29,$F29=1),중요_시점_표식,"")),"")</f>
        <v/>
      </c>
      <c r="BJ29" s="26" t="str">
        <f ca="1">IFERROR(IF(LEN(중요_시점3[[#This Row],[요일]])=0,"",IF(AND(BJ$7=$E29,$F29=1),중요_시점_표식,"")),"")</f>
        <v/>
      </c>
      <c r="BK29" s="26" t="str">
        <f ca="1">IFERROR(IF(LEN(중요_시점3[[#This Row],[요일]])=0,"",IF(AND(BK$7=$E29,$F29=1),중요_시점_표식,"")),"")</f>
        <v/>
      </c>
    </row>
    <row r="30" spans="1:63" s="1" customFormat="1" ht="30" customHeight="1" outlineLevel="1">
      <c r="A30" s="5"/>
      <c r="B30" s="49" t="s">
        <v>11</v>
      </c>
      <c r="C30" s="13"/>
      <c r="D30" s="44"/>
      <c r="E30" s="42">
        <f ca="1">TODAY()+29</f>
        <v>44617</v>
      </c>
      <c r="F30" s="12">
        <v>5</v>
      </c>
      <c r="G30" s="27"/>
      <c r="H30" s="26" t="str">
        <f ca="1">IFERROR(IF(LEN(중요_시점3[[#This Row],[요일]])=0,"",IF(AND(H$7=$E30,$F30=1),중요_시점_표식,"")),"")</f>
        <v/>
      </c>
      <c r="I30" s="26" t="str">
        <f ca="1">IFERROR(IF(LEN(중요_시점3[[#This Row],[요일]])=0,"",IF(AND(I$7=$E30,$F30=1),중요_시점_표식,"")),"")</f>
        <v/>
      </c>
      <c r="J30" s="26" t="str">
        <f ca="1">IFERROR(IF(LEN(중요_시점3[[#This Row],[요일]])=0,"",IF(AND(J$7=$E30,$F30=1),중요_시점_표식,"")),"")</f>
        <v/>
      </c>
      <c r="K30" s="26" t="str">
        <f ca="1">IFERROR(IF(LEN(중요_시점3[[#This Row],[요일]])=0,"",IF(AND(K$7=$E30,$F30=1),중요_시점_표식,"")),"")</f>
        <v/>
      </c>
      <c r="L30" s="26" t="str">
        <f ca="1">IFERROR(IF(LEN(중요_시점3[[#This Row],[요일]])=0,"",IF(AND(L$7=$E30,$F30=1),중요_시점_표식,"")),"")</f>
        <v/>
      </c>
      <c r="M30" s="26" t="str">
        <f ca="1">IFERROR(IF(LEN(중요_시점3[[#This Row],[요일]])=0,"",IF(AND(M$7=$E30,$F30=1),중요_시점_표식,"")),"")</f>
        <v/>
      </c>
      <c r="N30" s="26" t="str">
        <f ca="1">IFERROR(IF(LEN(중요_시점3[[#This Row],[요일]])=0,"",IF(AND(N$7=$E30,$F30=1),중요_시점_표식,"")),"")</f>
        <v/>
      </c>
      <c r="O30" s="26" t="str">
        <f ca="1">IFERROR(IF(LEN(중요_시점3[[#This Row],[요일]])=0,"",IF(AND(O$7=$E30,$F30=1),중요_시점_표식,"")),"")</f>
        <v/>
      </c>
      <c r="P30" s="26" t="str">
        <f ca="1">IFERROR(IF(LEN(중요_시점3[[#This Row],[요일]])=0,"",IF(AND(P$7=$E30,$F30=1),중요_시점_표식,"")),"")</f>
        <v/>
      </c>
      <c r="Q30" s="26" t="str">
        <f ca="1">IFERROR(IF(LEN(중요_시점3[[#This Row],[요일]])=0,"",IF(AND(Q$7=$E30,$F30=1),중요_시점_표식,"")),"")</f>
        <v/>
      </c>
      <c r="R30" s="26" t="str">
        <f ca="1">IFERROR(IF(LEN(중요_시점3[[#This Row],[요일]])=0,"",IF(AND(R$7=$E30,$F30=1),중요_시점_표식,"")),"")</f>
        <v/>
      </c>
      <c r="S30" s="26" t="str">
        <f ca="1">IFERROR(IF(LEN(중요_시점3[[#This Row],[요일]])=0,"",IF(AND(S$7=$E30,$F30=1),중요_시점_표식,"")),"")</f>
        <v/>
      </c>
      <c r="T30" s="26" t="str">
        <f ca="1">IFERROR(IF(LEN(중요_시점3[[#This Row],[요일]])=0,"",IF(AND(T$7=$E30,$F30=1),중요_시점_표식,"")),"")</f>
        <v/>
      </c>
      <c r="U30" s="26" t="str">
        <f ca="1">IFERROR(IF(LEN(중요_시점3[[#This Row],[요일]])=0,"",IF(AND(U$7=$E30,$F30=1),중요_시점_표식,"")),"")</f>
        <v/>
      </c>
      <c r="V30" s="26" t="str">
        <f ca="1">IFERROR(IF(LEN(중요_시점3[[#This Row],[요일]])=0,"",IF(AND(V$7=$E30,$F30=1),중요_시점_표식,"")),"")</f>
        <v/>
      </c>
      <c r="W30" s="26" t="str">
        <f ca="1">IFERROR(IF(LEN(중요_시점3[[#This Row],[요일]])=0,"",IF(AND(W$7=$E30,$F30=1),중요_시점_표식,"")),"")</f>
        <v/>
      </c>
      <c r="X30" s="26" t="str">
        <f ca="1">IFERROR(IF(LEN(중요_시점3[[#This Row],[요일]])=0,"",IF(AND(X$7=$E30,$F30=1),중요_시점_표식,"")),"")</f>
        <v/>
      </c>
      <c r="Y30" s="26" t="str">
        <f ca="1">IFERROR(IF(LEN(중요_시점3[[#This Row],[요일]])=0,"",IF(AND(Y$7=$E30,$F30=1),중요_시점_표식,"")),"")</f>
        <v/>
      </c>
      <c r="Z30" s="26" t="str">
        <f ca="1">IFERROR(IF(LEN(중요_시점3[[#This Row],[요일]])=0,"",IF(AND(Z$7=$E30,$F30=1),중요_시점_표식,"")),"")</f>
        <v/>
      </c>
      <c r="AA30" s="26" t="str">
        <f ca="1">IFERROR(IF(LEN(중요_시점3[[#This Row],[요일]])=0,"",IF(AND(AA$7=$E30,$F30=1),중요_시점_표식,"")),"")</f>
        <v/>
      </c>
      <c r="AB30" s="26" t="str">
        <f ca="1">IFERROR(IF(LEN(중요_시점3[[#This Row],[요일]])=0,"",IF(AND(AB$7=$E30,$F30=1),중요_시점_표식,"")),"")</f>
        <v/>
      </c>
      <c r="AC30" s="26" t="str">
        <f ca="1">IFERROR(IF(LEN(중요_시점3[[#This Row],[요일]])=0,"",IF(AND(AC$7=$E30,$F30=1),중요_시점_표식,"")),"")</f>
        <v/>
      </c>
      <c r="AD30" s="26" t="str">
        <f ca="1">IFERROR(IF(LEN(중요_시점3[[#This Row],[요일]])=0,"",IF(AND(AD$7=$E30,$F30=1),중요_시점_표식,"")),"")</f>
        <v/>
      </c>
      <c r="AE30" s="26" t="str">
        <f ca="1">IFERROR(IF(LEN(중요_시점3[[#This Row],[요일]])=0,"",IF(AND(AE$7=$E30,$F30=1),중요_시점_표식,"")),"")</f>
        <v/>
      </c>
      <c r="AF30" s="26" t="str">
        <f ca="1">IFERROR(IF(LEN(중요_시점3[[#This Row],[요일]])=0,"",IF(AND(AF$7=$E30,$F30=1),중요_시점_표식,"")),"")</f>
        <v/>
      </c>
      <c r="AG30" s="26" t="str">
        <f ca="1">IFERROR(IF(LEN(중요_시점3[[#This Row],[요일]])=0,"",IF(AND(AG$7=$E30,$F30=1),중요_시점_표식,"")),"")</f>
        <v/>
      </c>
      <c r="AH30" s="26" t="str">
        <f ca="1">IFERROR(IF(LEN(중요_시점3[[#This Row],[요일]])=0,"",IF(AND(AH$7=$E30,$F30=1),중요_시점_표식,"")),"")</f>
        <v/>
      </c>
      <c r="AI30" s="26" t="str">
        <f ca="1">IFERROR(IF(LEN(중요_시점3[[#This Row],[요일]])=0,"",IF(AND(AI$7=$E30,$F30=1),중요_시점_표식,"")),"")</f>
        <v/>
      </c>
      <c r="AJ30" s="26" t="str">
        <f ca="1">IFERROR(IF(LEN(중요_시점3[[#This Row],[요일]])=0,"",IF(AND(AJ$7=$E30,$F30=1),중요_시점_표식,"")),"")</f>
        <v/>
      </c>
      <c r="AK30" s="26" t="str">
        <f ca="1">IFERROR(IF(LEN(중요_시점3[[#This Row],[요일]])=0,"",IF(AND(AK$7=$E30,$F30=1),중요_시점_표식,"")),"")</f>
        <v/>
      </c>
      <c r="AL30" s="26" t="str">
        <f ca="1">IFERROR(IF(LEN(중요_시점3[[#This Row],[요일]])=0,"",IF(AND(AL$7=$E30,$F30=1),중요_시점_표식,"")),"")</f>
        <v/>
      </c>
      <c r="AM30" s="26" t="str">
        <f ca="1">IFERROR(IF(LEN(중요_시점3[[#This Row],[요일]])=0,"",IF(AND(AM$7=$E30,$F30=1),중요_시점_표식,"")),"")</f>
        <v/>
      </c>
      <c r="AN30" s="26" t="str">
        <f ca="1">IFERROR(IF(LEN(중요_시점3[[#This Row],[요일]])=0,"",IF(AND(AN$7=$E30,$F30=1),중요_시점_표식,"")),"")</f>
        <v/>
      </c>
      <c r="AO30" s="26" t="str">
        <f ca="1">IFERROR(IF(LEN(중요_시점3[[#This Row],[요일]])=0,"",IF(AND(AO$7=$E30,$F30=1),중요_시점_표식,"")),"")</f>
        <v/>
      </c>
      <c r="AP30" s="26" t="str">
        <f ca="1">IFERROR(IF(LEN(중요_시점3[[#This Row],[요일]])=0,"",IF(AND(AP$7=$E30,$F30=1),중요_시점_표식,"")),"")</f>
        <v/>
      </c>
      <c r="AQ30" s="26" t="str">
        <f ca="1">IFERROR(IF(LEN(중요_시점3[[#This Row],[요일]])=0,"",IF(AND(AQ$7=$E30,$F30=1),중요_시점_표식,"")),"")</f>
        <v/>
      </c>
      <c r="AR30" s="26" t="str">
        <f ca="1">IFERROR(IF(LEN(중요_시점3[[#This Row],[요일]])=0,"",IF(AND(AR$7=$E30,$F30=1),중요_시점_표식,"")),"")</f>
        <v/>
      </c>
      <c r="AS30" s="26" t="str">
        <f ca="1">IFERROR(IF(LEN(중요_시점3[[#This Row],[요일]])=0,"",IF(AND(AS$7=$E30,$F30=1),중요_시점_표식,"")),"")</f>
        <v/>
      </c>
      <c r="AT30" s="26" t="str">
        <f ca="1">IFERROR(IF(LEN(중요_시점3[[#This Row],[요일]])=0,"",IF(AND(AT$7=$E30,$F30=1),중요_시점_표식,"")),"")</f>
        <v/>
      </c>
      <c r="AU30" s="26" t="str">
        <f ca="1">IFERROR(IF(LEN(중요_시점3[[#This Row],[요일]])=0,"",IF(AND(AU$7=$E30,$F30=1),중요_시점_표식,"")),"")</f>
        <v/>
      </c>
      <c r="AV30" s="26" t="str">
        <f ca="1">IFERROR(IF(LEN(중요_시점3[[#This Row],[요일]])=0,"",IF(AND(AV$7=$E30,$F30=1),중요_시점_표식,"")),"")</f>
        <v/>
      </c>
      <c r="AW30" s="26" t="str">
        <f ca="1">IFERROR(IF(LEN(중요_시점3[[#This Row],[요일]])=0,"",IF(AND(AW$7=$E30,$F30=1),중요_시점_표식,"")),"")</f>
        <v/>
      </c>
      <c r="AX30" s="26" t="str">
        <f ca="1">IFERROR(IF(LEN(중요_시점3[[#This Row],[요일]])=0,"",IF(AND(AX$7=$E30,$F30=1),중요_시점_표식,"")),"")</f>
        <v/>
      </c>
      <c r="AY30" s="26" t="str">
        <f ca="1">IFERROR(IF(LEN(중요_시점3[[#This Row],[요일]])=0,"",IF(AND(AY$7=$E30,$F30=1),중요_시점_표식,"")),"")</f>
        <v/>
      </c>
      <c r="AZ30" s="26" t="str">
        <f ca="1">IFERROR(IF(LEN(중요_시점3[[#This Row],[요일]])=0,"",IF(AND(AZ$7=$E30,$F30=1),중요_시점_표식,"")),"")</f>
        <v/>
      </c>
      <c r="BA30" s="26" t="str">
        <f ca="1">IFERROR(IF(LEN(중요_시점3[[#This Row],[요일]])=0,"",IF(AND(BA$7=$E30,$F30=1),중요_시점_표식,"")),"")</f>
        <v/>
      </c>
      <c r="BB30" s="26" t="str">
        <f ca="1">IFERROR(IF(LEN(중요_시점3[[#This Row],[요일]])=0,"",IF(AND(BB$7=$E30,$F30=1),중요_시점_표식,"")),"")</f>
        <v/>
      </c>
      <c r="BC30" s="26" t="str">
        <f ca="1">IFERROR(IF(LEN(중요_시점3[[#This Row],[요일]])=0,"",IF(AND(BC$7=$E30,$F30=1),중요_시점_표식,"")),"")</f>
        <v/>
      </c>
      <c r="BD30" s="26" t="str">
        <f ca="1">IFERROR(IF(LEN(중요_시점3[[#This Row],[요일]])=0,"",IF(AND(BD$7=$E30,$F30=1),중요_시점_표식,"")),"")</f>
        <v/>
      </c>
      <c r="BE30" s="26" t="str">
        <f ca="1">IFERROR(IF(LEN(중요_시점3[[#This Row],[요일]])=0,"",IF(AND(BE$7=$E30,$F30=1),중요_시점_표식,"")),"")</f>
        <v/>
      </c>
      <c r="BF30" s="26" t="str">
        <f ca="1">IFERROR(IF(LEN(중요_시점3[[#This Row],[요일]])=0,"",IF(AND(BF$7=$E30,$F30=1),중요_시점_표식,"")),"")</f>
        <v/>
      </c>
      <c r="BG30" s="26" t="str">
        <f ca="1">IFERROR(IF(LEN(중요_시점3[[#This Row],[요일]])=0,"",IF(AND(BG$7=$E30,$F30=1),중요_시점_표식,"")),"")</f>
        <v/>
      </c>
      <c r="BH30" s="26" t="str">
        <f ca="1">IFERROR(IF(LEN(중요_시점3[[#This Row],[요일]])=0,"",IF(AND(BH$7=$E30,$F30=1),중요_시점_표식,"")),"")</f>
        <v/>
      </c>
      <c r="BI30" s="26" t="str">
        <f ca="1">IFERROR(IF(LEN(중요_시점3[[#This Row],[요일]])=0,"",IF(AND(BI$7=$E30,$F30=1),중요_시점_표식,"")),"")</f>
        <v/>
      </c>
      <c r="BJ30" s="26" t="str">
        <f ca="1">IFERROR(IF(LEN(중요_시점3[[#This Row],[요일]])=0,"",IF(AND(BJ$7=$E30,$F30=1),중요_시점_표식,"")),"")</f>
        <v/>
      </c>
      <c r="BK30" s="26" t="str">
        <f ca="1">IFERROR(IF(LEN(중요_시점3[[#This Row],[요일]])=0,"",IF(AND(BK$7=$E30,$F30=1),중요_시점_표식,"")),"")</f>
        <v/>
      </c>
    </row>
    <row r="31" spans="1:63" s="1" customFormat="1" ht="30" customHeight="1" outlineLevel="1">
      <c r="A31" s="5"/>
      <c r="B31" s="49" t="s">
        <v>12</v>
      </c>
      <c r="C31" s="13"/>
      <c r="D31" s="81"/>
      <c r="E31" s="42">
        <f ca="1">TODAY()+80</f>
        <v>44668</v>
      </c>
      <c r="F31" s="12">
        <v>5</v>
      </c>
      <c r="G31" s="27"/>
      <c r="H31" s="26" t="str">
        <f ca="1">IFERROR(IF(LEN(중요_시점3[[#This Row],[요일]])=0,"",IF(AND(H$7=$E31,$F31=1),중요_시점_표식,"")),"")</f>
        <v/>
      </c>
      <c r="I31" s="26" t="str">
        <f ca="1">IFERROR(IF(LEN(중요_시점3[[#This Row],[요일]])=0,"",IF(AND(I$7=$E31,$F31=1),중요_시점_표식,"")),"")</f>
        <v/>
      </c>
      <c r="J31" s="26" t="str">
        <f ca="1">IFERROR(IF(LEN(중요_시점3[[#This Row],[요일]])=0,"",IF(AND(J$7=$E31,$F31=1),중요_시점_표식,"")),"")</f>
        <v/>
      </c>
      <c r="K31" s="26" t="str">
        <f ca="1">IFERROR(IF(LEN(중요_시점3[[#This Row],[요일]])=0,"",IF(AND(K$7=$E31,$F31=1),중요_시점_표식,"")),"")</f>
        <v/>
      </c>
      <c r="L31" s="26" t="str">
        <f ca="1">IFERROR(IF(LEN(중요_시점3[[#This Row],[요일]])=0,"",IF(AND(L$7=$E31,$F31=1),중요_시점_표식,"")),"")</f>
        <v/>
      </c>
      <c r="M31" s="26" t="str">
        <f ca="1">IFERROR(IF(LEN(중요_시점3[[#This Row],[요일]])=0,"",IF(AND(M$7=$E31,$F31=1),중요_시점_표식,"")),"")</f>
        <v/>
      </c>
      <c r="N31" s="26" t="str">
        <f ca="1">IFERROR(IF(LEN(중요_시점3[[#This Row],[요일]])=0,"",IF(AND(N$7=$E31,$F31=1),중요_시점_표식,"")),"")</f>
        <v/>
      </c>
      <c r="O31" s="26" t="str">
        <f ca="1">IFERROR(IF(LEN(중요_시점3[[#This Row],[요일]])=0,"",IF(AND(O$7=$E31,$F31=1),중요_시점_표식,"")),"")</f>
        <v/>
      </c>
      <c r="P31" s="26" t="str">
        <f ca="1">IFERROR(IF(LEN(중요_시점3[[#This Row],[요일]])=0,"",IF(AND(P$7=$E31,$F31=1),중요_시점_표식,"")),"")</f>
        <v/>
      </c>
      <c r="Q31" s="26" t="str">
        <f ca="1">IFERROR(IF(LEN(중요_시점3[[#This Row],[요일]])=0,"",IF(AND(Q$7=$E31,$F31=1),중요_시점_표식,"")),"")</f>
        <v/>
      </c>
      <c r="R31" s="26" t="str">
        <f ca="1">IFERROR(IF(LEN(중요_시점3[[#This Row],[요일]])=0,"",IF(AND(R$7=$E31,$F31=1),중요_시점_표식,"")),"")</f>
        <v/>
      </c>
      <c r="S31" s="26" t="str">
        <f ca="1">IFERROR(IF(LEN(중요_시점3[[#This Row],[요일]])=0,"",IF(AND(S$7=$E31,$F31=1),중요_시점_표식,"")),"")</f>
        <v/>
      </c>
      <c r="T31" s="26" t="str">
        <f ca="1">IFERROR(IF(LEN(중요_시점3[[#This Row],[요일]])=0,"",IF(AND(T$7=$E31,$F31=1),중요_시점_표식,"")),"")</f>
        <v/>
      </c>
      <c r="U31" s="26" t="str">
        <f ca="1">IFERROR(IF(LEN(중요_시점3[[#This Row],[요일]])=0,"",IF(AND(U$7=$E31,$F31=1),중요_시점_표식,"")),"")</f>
        <v/>
      </c>
      <c r="V31" s="26" t="str">
        <f ca="1">IFERROR(IF(LEN(중요_시점3[[#This Row],[요일]])=0,"",IF(AND(V$7=$E31,$F31=1),중요_시점_표식,"")),"")</f>
        <v/>
      </c>
      <c r="W31" s="26" t="str">
        <f ca="1">IFERROR(IF(LEN(중요_시점3[[#This Row],[요일]])=0,"",IF(AND(W$7=$E31,$F31=1),중요_시점_표식,"")),"")</f>
        <v/>
      </c>
      <c r="X31" s="26" t="str">
        <f ca="1">IFERROR(IF(LEN(중요_시점3[[#This Row],[요일]])=0,"",IF(AND(X$7=$E31,$F31=1),중요_시점_표식,"")),"")</f>
        <v/>
      </c>
      <c r="Y31" s="26" t="str">
        <f ca="1">IFERROR(IF(LEN(중요_시점3[[#This Row],[요일]])=0,"",IF(AND(Y$7=$E31,$F31=1),중요_시점_표식,"")),"")</f>
        <v/>
      </c>
      <c r="Z31" s="26" t="str">
        <f ca="1">IFERROR(IF(LEN(중요_시점3[[#This Row],[요일]])=0,"",IF(AND(Z$7=$E31,$F31=1),중요_시점_표식,"")),"")</f>
        <v/>
      </c>
      <c r="AA31" s="26" t="str">
        <f ca="1">IFERROR(IF(LEN(중요_시점3[[#This Row],[요일]])=0,"",IF(AND(AA$7=$E31,$F31=1),중요_시점_표식,"")),"")</f>
        <v/>
      </c>
      <c r="AB31" s="26" t="str">
        <f ca="1">IFERROR(IF(LEN(중요_시점3[[#This Row],[요일]])=0,"",IF(AND(AB$7=$E31,$F31=1),중요_시점_표식,"")),"")</f>
        <v/>
      </c>
      <c r="AC31" s="26" t="str">
        <f ca="1">IFERROR(IF(LEN(중요_시점3[[#This Row],[요일]])=0,"",IF(AND(AC$7=$E31,$F31=1),중요_시점_표식,"")),"")</f>
        <v/>
      </c>
      <c r="AD31" s="26" t="str">
        <f ca="1">IFERROR(IF(LEN(중요_시점3[[#This Row],[요일]])=0,"",IF(AND(AD$7=$E31,$F31=1),중요_시점_표식,"")),"")</f>
        <v/>
      </c>
      <c r="AE31" s="26" t="str">
        <f ca="1">IFERROR(IF(LEN(중요_시점3[[#This Row],[요일]])=0,"",IF(AND(AE$7=$E31,$F31=1),중요_시점_표식,"")),"")</f>
        <v/>
      </c>
      <c r="AF31" s="26" t="str">
        <f ca="1">IFERROR(IF(LEN(중요_시점3[[#This Row],[요일]])=0,"",IF(AND(AF$7=$E31,$F31=1),중요_시점_표식,"")),"")</f>
        <v/>
      </c>
      <c r="AG31" s="26" t="str">
        <f ca="1">IFERROR(IF(LEN(중요_시점3[[#This Row],[요일]])=0,"",IF(AND(AG$7=$E31,$F31=1),중요_시점_표식,"")),"")</f>
        <v/>
      </c>
      <c r="AH31" s="26" t="str">
        <f ca="1">IFERROR(IF(LEN(중요_시점3[[#This Row],[요일]])=0,"",IF(AND(AH$7=$E31,$F31=1),중요_시점_표식,"")),"")</f>
        <v/>
      </c>
      <c r="AI31" s="26" t="str">
        <f ca="1">IFERROR(IF(LEN(중요_시점3[[#This Row],[요일]])=0,"",IF(AND(AI$7=$E31,$F31=1),중요_시점_표식,"")),"")</f>
        <v/>
      </c>
      <c r="AJ31" s="26" t="str">
        <f ca="1">IFERROR(IF(LEN(중요_시점3[[#This Row],[요일]])=0,"",IF(AND(AJ$7=$E31,$F31=1),중요_시점_표식,"")),"")</f>
        <v/>
      </c>
      <c r="AK31" s="26" t="str">
        <f ca="1">IFERROR(IF(LEN(중요_시점3[[#This Row],[요일]])=0,"",IF(AND(AK$7=$E31,$F31=1),중요_시점_표식,"")),"")</f>
        <v/>
      </c>
      <c r="AL31" s="26" t="str">
        <f ca="1">IFERROR(IF(LEN(중요_시점3[[#This Row],[요일]])=0,"",IF(AND(AL$7=$E31,$F31=1),중요_시점_표식,"")),"")</f>
        <v/>
      </c>
      <c r="AM31" s="26" t="str">
        <f ca="1">IFERROR(IF(LEN(중요_시점3[[#This Row],[요일]])=0,"",IF(AND(AM$7=$E31,$F31=1),중요_시점_표식,"")),"")</f>
        <v/>
      </c>
      <c r="AN31" s="26" t="str">
        <f ca="1">IFERROR(IF(LEN(중요_시점3[[#This Row],[요일]])=0,"",IF(AND(AN$7=$E31,$F31=1),중요_시점_표식,"")),"")</f>
        <v/>
      </c>
      <c r="AO31" s="26" t="str">
        <f ca="1">IFERROR(IF(LEN(중요_시점3[[#This Row],[요일]])=0,"",IF(AND(AO$7=$E31,$F31=1),중요_시점_표식,"")),"")</f>
        <v/>
      </c>
      <c r="AP31" s="26" t="str">
        <f ca="1">IFERROR(IF(LEN(중요_시점3[[#This Row],[요일]])=0,"",IF(AND(AP$7=$E31,$F31=1),중요_시점_표식,"")),"")</f>
        <v/>
      </c>
      <c r="AQ31" s="26" t="str">
        <f ca="1">IFERROR(IF(LEN(중요_시점3[[#This Row],[요일]])=0,"",IF(AND(AQ$7=$E31,$F31=1),중요_시점_표식,"")),"")</f>
        <v/>
      </c>
      <c r="AR31" s="26" t="str">
        <f ca="1">IFERROR(IF(LEN(중요_시점3[[#This Row],[요일]])=0,"",IF(AND(AR$7=$E31,$F31=1),중요_시점_표식,"")),"")</f>
        <v/>
      </c>
      <c r="AS31" s="26" t="str">
        <f ca="1">IFERROR(IF(LEN(중요_시점3[[#This Row],[요일]])=0,"",IF(AND(AS$7=$E31,$F31=1),중요_시점_표식,"")),"")</f>
        <v/>
      </c>
      <c r="AT31" s="26" t="str">
        <f ca="1">IFERROR(IF(LEN(중요_시점3[[#This Row],[요일]])=0,"",IF(AND(AT$7=$E31,$F31=1),중요_시점_표식,"")),"")</f>
        <v/>
      </c>
      <c r="AU31" s="26" t="str">
        <f ca="1">IFERROR(IF(LEN(중요_시점3[[#This Row],[요일]])=0,"",IF(AND(AU$7=$E31,$F31=1),중요_시점_표식,"")),"")</f>
        <v/>
      </c>
      <c r="AV31" s="26" t="str">
        <f ca="1">IFERROR(IF(LEN(중요_시점3[[#This Row],[요일]])=0,"",IF(AND(AV$7=$E31,$F31=1),중요_시점_표식,"")),"")</f>
        <v/>
      </c>
      <c r="AW31" s="26" t="str">
        <f ca="1">IFERROR(IF(LEN(중요_시점3[[#This Row],[요일]])=0,"",IF(AND(AW$7=$E31,$F31=1),중요_시점_표식,"")),"")</f>
        <v/>
      </c>
      <c r="AX31" s="26" t="str">
        <f ca="1">IFERROR(IF(LEN(중요_시점3[[#This Row],[요일]])=0,"",IF(AND(AX$7=$E31,$F31=1),중요_시점_표식,"")),"")</f>
        <v/>
      </c>
      <c r="AY31" s="26" t="str">
        <f ca="1">IFERROR(IF(LEN(중요_시점3[[#This Row],[요일]])=0,"",IF(AND(AY$7=$E31,$F31=1),중요_시점_표식,"")),"")</f>
        <v/>
      </c>
      <c r="AZ31" s="26" t="str">
        <f ca="1">IFERROR(IF(LEN(중요_시점3[[#This Row],[요일]])=0,"",IF(AND(AZ$7=$E31,$F31=1),중요_시점_표식,"")),"")</f>
        <v/>
      </c>
      <c r="BA31" s="26" t="str">
        <f ca="1">IFERROR(IF(LEN(중요_시점3[[#This Row],[요일]])=0,"",IF(AND(BA$7=$E31,$F31=1),중요_시점_표식,"")),"")</f>
        <v/>
      </c>
      <c r="BB31" s="26" t="str">
        <f ca="1">IFERROR(IF(LEN(중요_시점3[[#This Row],[요일]])=0,"",IF(AND(BB$7=$E31,$F31=1),중요_시점_표식,"")),"")</f>
        <v/>
      </c>
      <c r="BC31" s="26" t="str">
        <f ca="1">IFERROR(IF(LEN(중요_시점3[[#This Row],[요일]])=0,"",IF(AND(BC$7=$E31,$F31=1),중요_시점_표식,"")),"")</f>
        <v/>
      </c>
      <c r="BD31" s="26" t="str">
        <f ca="1">IFERROR(IF(LEN(중요_시점3[[#This Row],[요일]])=0,"",IF(AND(BD$7=$E31,$F31=1),중요_시점_표식,"")),"")</f>
        <v/>
      </c>
      <c r="BE31" s="26" t="str">
        <f ca="1">IFERROR(IF(LEN(중요_시점3[[#This Row],[요일]])=0,"",IF(AND(BE$7=$E31,$F31=1),중요_시점_표식,"")),"")</f>
        <v/>
      </c>
      <c r="BF31" s="26" t="str">
        <f ca="1">IFERROR(IF(LEN(중요_시점3[[#This Row],[요일]])=0,"",IF(AND(BF$7=$E31,$F31=1),중요_시점_표식,"")),"")</f>
        <v/>
      </c>
      <c r="BG31" s="26" t="str">
        <f ca="1">IFERROR(IF(LEN(중요_시점3[[#This Row],[요일]])=0,"",IF(AND(BG$7=$E31,$F31=1),중요_시점_표식,"")),"")</f>
        <v/>
      </c>
      <c r="BH31" s="26" t="str">
        <f ca="1">IFERROR(IF(LEN(중요_시점3[[#This Row],[요일]])=0,"",IF(AND(BH$7=$E31,$F31=1),중요_시점_표식,"")),"")</f>
        <v/>
      </c>
      <c r="BI31" s="26" t="str">
        <f ca="1">IFERROR(IF(LEN(중요_시점3[[#This Row],[요일]])=0,"",IF(AND(BI$7=$E31,$F31=1),중요_시점_표식,"")),"")</f>
        <v/>
      </c>
      <c r="BJ31" s="26" t="str">
        <f ca="1">IFERROR(IF(LEN(중요_시점3[[#This Row],[요일]])=0,"",IF(AND(BJ$7=$E31,$F31=1),중요_시점_표식,"")),"")</f>
        <v/>
      </c>
      <c r="BK31" s="26" t="str">
        <f ca="1">IFERROR(IF(LEN(중요_시점3[[#This Row],[요일]])=0,"",IF(AND(BK$7=$E31,$F31=1),중요_시점_표식,"")),"")</f>
        <v/>
      </c>
    </row>
    <row r="32" spans="1:63" s="1" customFormat="1" ht="30" customHeight="1" outlineLevel="1">
      <c r="A32" s="5"/>
      <c r="B32" s="49" t="s">
        <v>13</v>
      </c>
      <c r="C32" s="13"/>
      <c r="D32" s="44"/>
      <c r="E32" s="42"/>
      <c r="F32" s="12"/>
      <c r="G32" s="27"/>
      <c r="H32" s="26" t="str">
        <f>IFERROR(IF(LEN(중요_시점3[[#This Row],[요일]])=0,"",IF(AND(H$7=$E32,$F32=1),중요_시점_표식,"")),"")</f>
        <v/>
      </c>
      <c r="I32" s="26" t="str">
        <f>IFERROR(IF(LEN(중요_시점3[[#This Row],[요일]])=0,"",IF(AND(I$7=$E32,$F32=1),중요_시점_표식,"")),"")</f>
        <v/>
      </c>
      <c r="J32" s="26" t="str">
        <f>IFERROR(IF(LEN(중요_시점3[[#This Row],[요일]])=0,"",IF(AND(J$7=$E32,$F32=1),중요_시점_표식,"")),"")</f>
        <v/>
      </c>
      <c r="K32" s="26" t="str">
        <f>IFERROR(IF(LEN(중요_시점3[[#This Row],[요일]])=0,"",IF(AND(K$7=$E32,$F32=1),중요_시점_표식,"")),"")</f>
        <v/>
      </c>
      <c r="L32" s="26" t="str">
        <f>IFERROR(IF(LEN(중요_시점3[[#This Row],[요일]])=0,"",IF(AND(L$7=$E32,$F32=1),중요_시점_표식,"")),"")</f>
        <v/>
      </c>
      <c r="M32" s="26" t="str">
        <f>IFERROR(IF(LEN(중요_시점3[[#This Row],[요일]])=0,"",IF(AND(M$7=$E32,$F32=1),중요_시점_표식,"")),"")</f>
        <v/>
      </c>
      <c r="N32" s="26" t="str">
        <f>IFERROR(IF(LEN(중요_시점3[[#This Row],[요일]])=0,"",IF(AND(N$7=$E32,$F32=1),중요_시점_표식,"")),"")</f>
        <v/>
      </c>
      <c r="O32" s="26" t="str">
        <f>IFERROR(IF(LEN(중요_시점3[[#This Row],[요일]])=0,"",IF(AND(O$7=$E32,$F32=1),중요_시점_표식,"")),"")</f>
        <v/>
      </c>
      <c r="P32" s="26" t="str">
        <f>IFERROR(IF(LEN(중요_시점3[[#This Row],[요일]])=0,"",IF(AND(P$7=$E32,$F32=1),중요_시점_표식,"")),"")</f>
        <v/>
      </c>
      <c r="Q32" s="26" t="str">
        <f>IFERROR(IF(LEN(중요_시점3[[#This Row],[요일]])=0,"",IF(AND(Q$7=$E32,$F32=1),중요_시점_표식,"")),"")</f>
        <v/>
      </c>
      <c r="R32" s="26" t="str">
        <f>IFERROR(IF(LEN(중요_시점3[[#This Row],[요일]])=0,"",IF(AND(R$7=$E32,$F32=1),중요_시점_표식,"")),"")</f>
        <v/>
      </c>
      <c r="S32" s="26" t="str">
        <f>IFERROR(IF(LEN(중요_시점3[[#This Row],[요일]])=0,"",IF(AND(S$7=$E32,$F32=1),중요_시점_표식,"")),"")</f>
        <v/>
      </c>
      <c r="T32" s="26" t="str">
        <f>IFERROR(IF(LEN(중요_시점3[[#This Row],[요일]])=0,"",IF(AND(T$7=$E32,$F32=1),중요_시점_표식,"")),"")</f>
        <v/>
      </c>
      <c r="U32" s="26" t="str">
        <f>IFERROR(IF(LEN(중요_시점3[[#This Row],[요일]])=0,"",IF(AND(U$7=$E32,$F32=1),중요_시점_표식,"")),"")</f>
        <v/>
      </c>
      <c r="V32" s="26" t="str">
        <f>IFERROR(IF(LEN(중요_시점3[[#This Row],[요일]])=0,"",IF(AND(V$7=$E32,$F32=1),중요_시점_표식,"")),"")</f>
        <v/>
      </c>
      <c r="W32" s="26" t="str">
        <f>IFERROR(IF(LEN(중요_시점3[[#This Row],[요일]])=0,"",IF(AND(W$7=$E32,$F32=1),중요_시점_표식,"")),"")</f>
        <v/>
      </c>
      <c r="X32" s="26" t="str">
        <f>IFERROR(IF(LEN(중요_시점3[[#This Row],[요일]])=0,"",IF(AND(X$7=$E32,$F32=1),중요_시점_표식,"")),"")</f>
        <v/>
      </c>
      <c r="Y32" s="26" t="str">
        <f>IFERROR(IF(LEN(중요_시점3[[#This Row],[요일]])=0,"",IF(AND(Y$7=$E32,$F32=1),중요_시점_표식,"")),"")</f>
        <v/>
      </c>
      <c r="Z32" s="26" t="str">
        <f>IFERROR(IF(LEN(중요_시점3[[#This Row],[요일]])=0,"",IF(AND(Z$7=$E32,$F32=1),중요_시점_표식,"")),"")</f>
        <v/>
      </c>
      <c r="AA32" s="26" t="str">
        <f>IFERROR(IF(LEN(중요_시점3[[#This Row],[요일]])=0,"",IF(AND(AA$7=$E32,$F32=1),중요_시점_표식,"")),"")</f>
        <v/>
      </c>
      <c r="AB32" s="26" t="str">
        <f>IFERROR(IF(LEN(중요_시점3[[#This Row],[요일]])=0,"",IF(AND(AB$7=$E32,$F32=1),중요_시점_표식,"")),"")</f>
        <v/>
      </c>
      <c r="AC32" s="26" t="str">
        <f>IFERROR(IF(LEN(중요_시점3[[#This Row],[요일]])=0,"",IF(AND(AC$7=$E32,$F32=1),중요_시점_표식,"")),"")</f>
        <v/>
      </c>
      <c r="AD32" s="26" t="str">
        <f>IFERROR(IF(LEN(중요_시점3[[#This Row],[요일]])=0,"",IF(AND(AD$7=$E32,$F32=1),중요_시점_표식,"")),"")</f>
        <v/>
      </c>
      <c r="AE32" s="26" t="str">
        <f>IFERROR(IF(LEN(중요_시점3[[#This Row],[요일]])=0,"",IF(AND(AE$7=$E32,$F32=1),중요_시점_표식,"")),"")</f>
        <v/>
      </c>
      <c r="AF32" s="26" t="str">
        <f>IFERROR(IF(LEN(중요_시점3[[#This Row],[요일]])=0,"",IF(AND(AF$7=$E32,$F32=1),중요_시점_표식,"")),"")</f>
        <v/>
      </c>
      <c r="AG32" s="26" t="str">
        <f>IFERROR(IF(LEN(중요_시점3[[#This Row],[요일]])=0,"",IF(AND(AG$7=$E32,$F32=1),중요_시점_표식,"")),"")</f>
        <v/>
      </c>
      <c r="AH32" s="26" t="str">
        <f>IFERROR(IF(LEN(중요_시점3[[#This Row],[요일]])=0,"",IF(AND(AH$7=$E32,$F32=1),중요_시점_표식,"")),"")</f>
        <v/>
      </c>
      <c r="AI32" s="26" t="str">
        <f>IFERROR(IF(LEN(중요_시점3[[#This Row],[요일]])=0,"",IF(AND(AI$7=$E32,$F32=1),중요_시점_표식,"")),"")</f>
        <v/>
      </c>
      <c r="AJ32" s="26" t="str">
        <f>IFERROR(IF(LEN(중요_시점3[[#This Row],[요일]])=0,"",IF(AND(AJ$7=$E32,$F32=1),중요_시점_표식,"")),"")</f>
        <v/>
      </c>
      <c r="AK32" s="26" t="str">
        <f>IFERROR(IF(LEN(중요_시점3[[#This Row],[요일]])=0,"",IF(AND(AK$7=$E32,$F32=1),중요_시점_표식,"")),"")</f>
        <v/>
      </c>
      <c r="AL32" s="26" t="str">
        <f>IFERROR(IF(LEN(중요_시점3[[#This Row],[요일]])=0,"",IF(AND(AL$7=$E32,$F32=1),중요_시점_표식,"")),"")</f>
        <v/>
      </c>
      <c r="AM32" s="26" t="str">
        <f>IFERROR(IF(LEN(중요_시점3[[#This Row],[요일]])=0,"",IF(AND(AM$7=$E32,$F32=1),중요_시점_표식,"")),"")</f>
        <v/>
      </c>
      <c r="AN32" s="26" t="str">
        <f>IFERROR(IF(LEN(중요_시점3[[#This Row],[요일]])=0,"",IF(AND(AN$7=$E32,$F32=1),중요_시점_표식,"")),"")</f>
        <v/>
      </c>
      <c r="AO32" s="26" t="str">
        <f>IFERROR(IF(LEN(중요_시점3[[#This Row],[요일]])=0,"",IF(AND(AO$7=$E32,$F32=1),중요_시점_표식,"")),"")</f>
        <v/>
      </c>
      <c r="AP32" s="26" t="str">
        <f>IFERROR(IF(LEN(중요_시점3[[#This Row],[요일]])=0,"",IF(AND(AP$7=$E32,$F32=1),중요_시점_표식,"")),"")</f>
        <v/>
      </c>
      <c r="AQ32" s="26" t="str">
        <f>IFERROR(IF(LEN(중요_시점3[[#This Row],[요일]])=0,"",IF(AND(AQ$7=$E32,$F32=1),중요_시점_표식,"")),"")</f>
        <v/>
      </c>
      <c r="AR32" s="26" t="str">
        <f>IFERROR(IF(LEN(중요_시점3[[#This Row],[요일]])=0,"",IF(AND(AR$7=$E32,$F32=1),중요_시점_표식,"")),"")</f>
        <v/>
      </c>
      <c r="AS32" s="26" t="str">
        <f>IFERROR(IF(LEN(중요_시점3[[#This Row],[요일]])=0,"",IF(AND(AS$7=$E32,$F32=1),중요_시점_표식,"")),"")</f>
        <v/>
      </c>
      <c r="AT32" s="26" t="str">
        <f>IFERROR(IF(LEN(중요_시점3[[#This Row],[요일]])=0,"",IF(AND(AT$7=$E32,$F32=1),중요_시점_표식,"")),"")</f>
        <v/>
      </c>
      <c r="AU32" s="26" t="str">
        <f>IFERROR(IF(LEN(중요_시점3[[#This Row],[요일]])=0,"",IF(AND(AU$7=$E32,$F32=1),중요_시점_표식,"")),"")</f>
        <v/>
      </c>
      <c r="AV32" s="26" t="str">
        <f>IFERROR(IF(LEN(중요_시점3[[#This Row],[요일]])=0,"",IF(AND(AV$7=$E32,$F32=1),중요_시점_표식,"")),"")</f>
        <v/>
      </c>
      <c r="AW32" s="26" t="str">
        <f>IFERROR(IF(LEN(중요_시점3[[#This Row],[요일]])=0,"",IF(AND(AW$7=$E32,$F32=1),중요_시점_표식,"")),"")</f>
        <v/>
      </c>
      <c r="AX32" s="26" t="str">
        <f>IFERROR(IF(LEN(중요_시점3[[#This Row],[요일]])=0,"",IF(AND(AX$7=$E32,$F32=1),중요_시점_표식,"")),"")</f>
        <v/>
      </c>
      <c r="AY32" s="26" t="str">
        <f>IFERROR(IF(LEN(중요_시점3[[#This Row],[요일]])=0,"",IF(AND(AY$7=$E32,$F32=1),중요_시점_표식,"")),"")</f>
        <v/>
      </c>
      <c r="AZ32" s="26" t="str">
        <f>IFERROR(IF(LEN(중요_시점3[[#This Row],[요일]])=0,"",IF(AND(AZ$7=$E32,$F32=1),중요_시점_표식,"")),"")</f>
        <v/>
      </c>
      <c r="BA32" s="26" t="str">
        <f>IFERROR(IF(LEN(중요_시점3[[#This Row],[요일]])=0,"",IF(AND(BA$7=$E32,$F32=1),중요_시점_표식,"")),"")</f>
        <v/>
      </c>
      <c r="BB32" s="26" t="str">
        <f>IFERROR(IF(LEN(중요_시점3[[#This Row],[요일]])=0,"",IF(AND(BB$7=$E32,$F32=1),중요_시점_표식,"")),"")</f>
        <v/>
      </c>
      <c r="BC32" s="26" t="str">
        <f>IFERROR(IF(LEN(중요_시점3[[#This Row],[요일]])=0,"",IF(AND(BC$7=$E32,$F32=1),중요_시점_표식,"")),"")</f>
        <v/>
      </c>
      <c r="BD32" s="26" t="str">
        <f>IFERROR(IF(LEN(중요_시점3[[#This Row],[요일]])=0,"",IF(AND(BD$7=$E32,$F32=1),중요_시점_표식,"")),"")</f>
        <v/>
      </c>
      <c r="BE32" s="26" t="str">
        <f>IFERROR(IF(LEN(중요_시점3[[#This Row],[요일]])=0,"",IF(AND(BE$7=$E32,$F32=1),중요_시점_표식,"")),"")</f>
        <v/>
      </c>
      <c r="BF32" s="26" t="str">
        <f>IFERROR(IF(LEN(중요_시점3[[#This Row],[요일]])=0,"",IF(AND(BF$7=$E32,$F32=1),중요_시점_표식,"")),"")</f>
        <v/>
      </c>
      <c r="BG32" s="26" t="str">
        <f>IFERROR(IF(LEN(중요_시점3[[#This Row],[요일]])=0,"",IF(AND(BG$7=$E32,$F32=1),중요_시점_표식,"")),"")</f>
        <v/>
      </c>
      <c r="BH32" s="26" t="str">
        <f>IFERROR(IF(LEN(중요_시점3[[#This Row],[요일]])=0,"",IF(AND(BH$7=$E32,$F32=1),중요_시점_표식,"")),"")</f>
        <v/>
      </c>
      <c r="BI32" s="26" t="str">
        <f>IFERROR(IF(LEN(중요_시점3[[#This Row],[요일]])=0,"",IF(AND(BI$7=$E32,$F32=1),중요_시점_표식,"")),"")</f>
        <v/>
      </c>
      <c r="BJ32" s="26" t="str">
        <f>IFERROR(IF(LEN(중요_시점3[[#This Row],[요일]])=0,"",IF(AND(BJ$7=$E32,$F32=1),중요_시점_표식,"")),"")</f>
        <v/>
      </c>
      <c r="BK32" s="26" t="str">
        <f>IFERROR(IF(LEN(중요_시점3[[#This Row],[요일]])=0,"",IF(AND(BK$7=$E32,$F32=1),중요_시점_표식,"")),"")</f>
        <v/>
      </c>
    </row>
    <row r="33" spans="1:63" s="1" customFormat="1" ht="30" customHeight="1" outlineLevel="1">
      <c r="A33" s="5"/>
      <c r="B33" s="49" t="s">
        <v>14</v>
      </c>
      <c r="C33" s="13"/>
      <c r="D33" s="81"/>
      <c r="E33" s="42"/>
      <c r="F33" s="12"/>
      <c r="G33" s="27"/>
      <c r="H33" s="26" t="str">
        <f>IFERROR(IF(LEN(중요_시점3[[#This Row],[요일]])=0,"",IF(AND(H$7=$E33,$F33=1),중요_시점_표식,"")),"")</f>
        <v/>
      </c>
      <c r="I33" s="26" t="str">
        <f>IFERROR(IF(LEN(중요_시점3[[#This Row],[요일]])=0,"",IF(AND(I$7=$E33,$F33=1),중요_시점_표식,"")),"")</f>
        <v/>
      </c>
      <c r="J33" s="26" t="str">
        <f>IFERROR(IF(LEN(중요_시점3[[#This Row],[요일]])=0,"",IF(AND(J$7=$E33,$F33=1),중요_시점_표식,"")),"")</f>
        <v/>
      </c>
      <c r="K33" s="26" t="str">
        <f>IFERROR(IF(LEN(중요_시점3[[#This Row],[요일]])=0,"",IF(AND(K$7=$E33,$F33=1),중요_시점_표식,"")),"")</f>
        <v/>
      </c>
      <c r="L33" s="26" t="str">
        <f>IFERROR(IF(LEN(중요_시점3[[#This Row],[요일]])=0,"",IF(AND(L$7=$E33,$F33=1),중요_시점_표식,"")),"")</f>
        <v/>
      </c>
      <c r="M33" s="26" t="str">
        <f>IFERROR(IF(LEN(중요_시점3[[#This Row],[요일]])=0,"",IF(AND(M$7=$E33,$F33=1),중요_시점_표식,"")),"")</f>
        <v/>
      </c>
      <c r="N33" s="26" t="str">
        <f>IFERROR(IF(LEN(중요_시점3[[#This Row],[요일]])=0,"",IF(AND(N$7=$E33,$F33=1),중요_시점_표식,"")),"")</f>
        <v/>
      </c>
      <c r="O33" s="26" t="str">
        <f>IFERROR(IF(LEN(중요_시점3[[#This Row],[요일]])=0,"",IF(AND(O$7=$E33,$F33=1),중요_시점_표식,"")),"")</f>
        <v/>
      </c>
      <c r="P33" s="26" t="str">
        <f>IFERROR(IF(LEN(중요_시점3[[#This Row],[요일]])=0,"",IF(AND(P$7=$E33,$F33=1),중요_시점_표식,"")),"")</f>
        <v/>
      </c>
      <c r="Q33" s="26" t="str">
        <f>IFERROR(IF(LEN(중요_시점3[[#This Row],[요일]])=0,"",IF(AND(Q$7=$E33,$F33=1),중요_시점_표식,"")),"")</f>
        <v/>
      </c>
      <c r="R33" s="26" t="str">
        <f>IFERROR(IF(LEN(중요_시점3[[#This Row],[요일]])=0,"",IF(AND(R$7=$E33,$F33=1),중요_시점_표식,"")),"")</f>
        <v/>
      </c>
      <c r="S33" s="26" t="str">
        <f>IFERROR(IF(LEN(중요_시점3[[#This Row],[요일]])=0,"",IF(AND(S$7=$E33,$F33=1),중요_시점_표식,"")),"")</f>
        <v/>
      </c>
      <c r="T33" s="26" t="str">
        <f>IFERROR(IF(LEN(중요_시점3[[#This Row],[요일]])=0,"",IF(AND(T$7=$E33,$F33=1),중요_시점_표식,"")),"")</f>
        <v/>
      </c>
      <c r="U33" s="26" t="str">
        <f>IFERROR(IF(LEN(중요_시점3[[#This Row],[요일]])=0,"",IF(AND(U$7=$E33,$F33=1),중요_시점_표식,"")),"")</f>
        <v/>
      </c>
      <c r="V33" s="26" t="str">
        <f>IFERROR(IF(LEN(중요_시점3[[#This Row],[요일]])=0,"",IF(AND(V$7=$E33,$F33=1),중요_시점_표식,"")),"")</f>
        <v/>
      </c>
      <c r="W33" s="26" t="str">
        <f>IFERROR(IF(LEN(중요_시점3[[#This Row],[요일]])=0,"",IF(AND(W$7=$E33,$F33=1),중요_시점_표식,"")),"")</f>
        <v/>
      </c>
      <c r="X33" s="26" t="str">
        <f>IFERROR(IF(LEN(중요_시점3[[#This Row],[요일]])=0,"",IF(AND(X$7=$E33,$F33=1),중요_시점_표식,"")),"")</f>
        <v/>
      </c>
      <c r="Y33" s="26" t="str">
        <f>IFERROR(IF(LEN(중요_시점3[[#This Row],[요일]])=0,"",IF(AND(Y$7=$E33,$F33=1),중요_시점_표식,"")),"")</f>
        <v/>
      </c>
      <c r="Z33" s="26" t="str">
        <f>IFERROR(IF(LEN(중요_시점3[[#This Row],[요일]])=0,"",IF(AND(Z$7=$E33,$F33=1),중요_시점_표식,"")),"")</f>
        <v/>
      </c>
      <c r="AA33" s="26" t="str">
        <f>IFERROR(IF(LEN(중요_시점3[[#This Row],[요일]])=0,"",IF(AND(AA$7=$E33,$F33=1),중요_시점_표식,"")),"")</f>
        <v/>
      </c>
      <c r="AB33" s="26" t="str">
        <f>IFERROR(IF(LEN(중요_시점3[[#This Row],[요일]])=0,"",IF(AND(AB$7=$E33,$F33=1),중요_시점_표식,"")),"")</f>
        <v/>
      </c>
      <c r="AC33" s="26" t="str">
        <f>IFERROR(IF(LEN(중요_시점3[[#This Row],[요일]])=0,"",IF(AND(AC$7=$E33,$F33=1),중요_시점_표식,"")),"")</f>
        <v/>
      </c>
      <c r="AD33" s="26" t="str">
        <f>IFERROR(IF(LEN(중요_시점3[[#This Row],[요일]])=0,"",IF(AND(AD$7=$E33,$F33=1),중요_시점_표식,"")),"")</f>
        <v/>
      </c>
      <c r="AE33" s="26" t="str">
        <f>IFERROR(IF(LEN(중요_시점3[[#This Row],[요일]])=0,"",IF(AND(AE$7=$E33,$F33=1),중요_시점_표식,"")),"")</f>
        <v/>
      </c>
      <c r="AF33" s="26" t="str">
        <f>IFERROR(IF(LEN(중요_시점3[[#This Row],[요일]])=0,"",IF(AND(AF$7=$E33,$F33=1),중요_시점_표식,"")),"")</f>
        <v/>
      </c>
      <c r="AG33" s="26" t="str">
        <f>IFERROR(IF(LEN(중요_시점3[[#This Row],[요일]])=0,"",IF(AND(AG$7=$E33,$F33=1),중요_시점_표식,"")),"")</f>
        <v/>
      </c>
      <c r="AH33" s="26" t="str">
        <f>IFERROR(IF(LEN(중요_시점3[[#This Row],[요일]])=0,"",IF(AND(AH$7=$E33,$F33=1),중요_시점_표식,"")),"")</f>
        <v/>
      </c>
      <c r="AI33" s="26" t="str">
        <f>IFERROR(IF(LEN(중요_시점3[[#This Row],[요일]])=0,"",IF(AND(AI$7=$E33,$F33=1),중요_시점_표식,"")),"")</f>
        <v/>
      </c>
      <c r="AJ33" s="26" t="str">
        <f>IFERROR(IF(LEN(중요_시점3[[#This Row],[요일]])=0,"",IF(AND(AJ$7=$E33,$F33=1),중요_시점_표식,"")),"")</f>
        <v/>
      </c>
      <c r="AK33" s="26" t="str">
        <f>IFERROR(IF(LEN(중요_시점3[[#This Row],[요일]])=0,"",IF(AND(AK$7=$E33,$F33=1),중요_시점_표식,"")),"")</f>
        <v/>
      </c>
      <c r="AL33" s="26" t="str">
        <f>IFERROR(IF(LEN(중요_시점3[[#This Row],[요일]])=0,"",IF(AND(AL$7=$E33,$F33=1),중요_시점_표식,"")),"")</f>
        <v/>
      </c>
      <c r="AM33" s="26" t="str">
        <f>IFERROR(IF(LEN(중요_시점3[[#This Row],[요일]])=0,"",IF(AND(AM$7=$E33,$F33=1),중요_시점_표식,"")),"")</f>
        <v/>
      </c>
      <c r="AN33" s="26" t="str">
        <f>IFERROR(IF(LEN(중요_시점3[[#This Row],[요일]])=0,"",IF(AND(AN$7=$E33,$F33=1),중요_시점_표식,"")),"")</f>
        <v/>
      </c>
      <c r="AO33" s="26" t="str">
        <f>IFERROR(IF(LEN(중요_시점3[[#This Row],[요일]])=0,"",IF(AND(AO$7=$E33,$F33=1),중요_시점_표식,"")),"")</f>
        <v/>
      </c>
      <c r="AP33" s="26" t="str">
        <f>IFERROR(IF(LEN(중요_시점3[[#This Row],[요일]])=0,"",IF(AND(AP$7=$E33,$F33=1),중요_시점_표식,"")),"")</f>
        <v/>
      </c>
      <c r="AQ33" s="26" t="str">
        <f>IFERROR(IF(LEN(중요_시점3[[#This Row],[요일]])=0,"",IF(AND(AQ$7=$E33,$F33=1),중요_시점_표식,"")),"")</f>
        <v/>
      </c>
      <c r="AR33" s="26" t="str">
        <f>IFERROR(IF(LEN(중요_시점3[[#This Row],[요일]])=0,"",IF(AND(AR$7=$E33,$F33=1),중요_시점_표식,"")),"")</f>
        <v/>
      </c>
      <c r="AS33" s="26" t="str">
        <f>IFERROR(IF(LEN(중요_시점3[[#This Row],[요일]])=0,"",IF(AND(AS$7=$E33,$F33=1),중요_시점_표식,"")),"")</f>
        <v/>
      </c>
      <c r="AT33" s="26" t="str">
        <f>IFERROR(IF(LEN(중요_시점3[[#This Row],[요일]])=0,"",IF(AND(AT$7=$E33,$F33=1),중요_시점_표식,"")),"")</f>
        <v/>
      </c>
      <c r="AU33" s="26" t="str">
        <f>IFERROR(IF(LEN(중요_시점3[[#This Row],[요일]])=0,"",IF(AND(AU$7=$E33,$F33=1),중요_시점_표식,"")),"")</f>
        <v/>
      </c>
      <c r="AV33" s="26" t="str">
        <f>IFERROR(IF(LEN(중요_시점3[[#This Row],[요일]])=0,"",IF(AND(AV$7=$E33,$F33=1),중요_시점_표식,"")),"")</f>
        <v/>
      </c>
      <c r="AW33" s="26" t="str">
        <f>IFERROR(IF(LEN(중요_시점3[[#This Row],[요일]])=0,"",IF(AND(AW$7=$E33,$F33=1),중요_시점_표식,"")),"")</f>
        <v/>
      </c>
      <c r="AX33" s="26" t="str">
        <f>IFERROR(IF(LEN(중요_시점3[[#This Row],[요일]])=0,"",IF(AND(AX$7=$E33,$F33=1),중요_시점_표식,"")),"")</f>
        <v/>
      </c>
      <c r="AY33" s="26" t="str">
        <f>IFERROR(IF(LEN(중요_시점3[[#This Row],[요일]])=0,"",IF(AND(AY$7=$E33,$F33=1),중요_시점_표식,"")),"")</f>
        <v/>
      </c>
      <c r="AZ33" s="26" t="str">
        <f>IFERROR(IF(LEN(중요_시점3[[#This Row],[요일]])=0,"",IF(AND(AZ$7=$E33,$F33=1),중요_시점_표식,"")),"")</f>
        <v/>
      </c>
      <c r="BA33" s="26" t="str">
        <f>IFERROR(IF(LEN(중요_시점3[[#This Row],[요일]])=0,"",IF(AND(BA$7=$E33,$F33=1),중요_시점_표식,"")),"")</f>
        <v/>
      </c>
      <c r="BB33" s="26" t="str">
        <f>IFERROR(IF(LEN(중요_시점3[[#This Row],[요일]])=0,"",IF(AND(BB$7=$E33,$F33=1),중요_시점_표식,"")),"")</f>
        <v/>
      </c>
      <c r="BC33" s="26" t="str">
        <f>IFERROR(IF(LEN(중요_시점3[[#This Row],[요일]])=0,"",IF(AND(BC$7=$E33,$F33=1),중요_시점_표식,"")),"")</f>
        <v/>
      </c>
      <c r="BD33" s="26" t="str">
        <f>IFERROR(IF(LEN(중요_시점3[[#This Row],[요일]])=0,"",IF(AND(BD$7=$E33,$F33=1),중요_시점_표식,"")),"")</f>
        <v/>
      </c>
      <c r="BE33" s="26" t="str">
        <f>IFERROR(IF(LEN(중요_시점3[[#This Row],[요일]])=0,"",IF(AND(BE$7=$E33,$F33=1),중요_시점_표식,"")),"")</f>
        <v/>
      </c>
      <c r="BF33" s="26" t="str">
        <f>IFERROR(IF(LEN(중요_시점3[[#This Row],[요일]])=0,"",IF(AND(BF$7=$E33,$F33=1),중요_시점_표식,"")),"")</f>
        <v/>
      </c>
      <c r="BG33" s="26" t="str">
        <f>IFERROR(IF(LEN(중요_시점3[[#This Row],[요일]])=0,"",IF(AND(BG$7=$E33,$F33=1),중요_시점_표식,"")),"")</f>
        <v/>
      </c>
      <c r="BH33" s="26" t="str">
        <f>IFERROR(IF(LEN(중요_시점3[[#This Row],[요일]])=0,"",IF(AND(BH$7=$E33,$F33=1),중요_시점_표식,"")),"")</f>
        <v/>
      </c>
      <c r="BI33" s="26" t="str">
        <f>IFERROR(IF(LEN(중요_시점3[[#This Row],[요일]])=0,"",IF(AND(BI$7=$E33,$F33=1),중요_시점_표식,"")),"")</f>
        <v/>
      </c>
      <c r="BJ33" s="26" t="str">
        <f>IFERROR(IF(LEN(중요_시점3[[#This Row],[요일]])=0,"",IF(AND(BJ$7=$E33,$F33=1),중요_시점_표식,"")),"")</f>
        <v/>
      </c>
      <c r="BK33" s="26" t="str">
        <f>IFERROR(IF(LEN(중요_시점3[[#This Row],[요일]])=0,"",IF(AND(BK$7=$E33,$F33=1),중요_시점_표식,"")),"")</f>
        <v/>
      </c>
    </row>
    <row r="34" spans="1:63" s="1" customFormat="1" ht="30" customHeight="1">
      <c r="A34" s="5"/>
      <c r="B34" s="41"/>
      <c r="C34" s="13"/>
      <c r="D34" s="44"/>
      <c r="E34" s="42"/>
      <c r="F34" s="12"/>
      <c r="G34" s="27"/>
      <c r="H34" s="26" t="str">
        <f>IFERROR(IF(LEN(중요_시점3[[#This Row],[요일]])=0,"",IF(AND(H$7=$E34,$F34=1),중요_시점_표식,"")),"")</f>
        <v/>
      </c>
      <c r="I34" s="26" t="str">
        <f>IFERROR(IF(LEN(중요_시점3[[#This Row],[요일]])=0,"",IF(AND(I$7=$E34,$F34=1),중요_시점_표식,"")),"")</f>
        <v/>
      </c>
      <c r="J34" s="26" t="str">
        <f>IFERROR(IF(LEN(중요_시점3[[#This Row],[요일]])=0,"",IF(AND(J$7=$E34,$F34=1),중요_시점_표식,"")),"")</f>
        <v/>
      </c>
      <c r="K34" s="26" t="str">
        <f>IFERROR(IF(LEN(중요_시점3[[#This Row],[요일]])=0,"",IF(AND(K$7=$E34,$F34=1),중요_시점_표식,"")),"")</f>
        <v/>
      </c>
      <c r="L34" s="26" t="str">
        <f>IFERROR(IF(LEN(중요_시점3[[#This Row],[요일]])=0,"",IF(AND(L$7=$E34,$F34=1),중요_시점_표식,"")),"")</f>
        <v/>
      </c>
      <c r="M34" s="26" t="str">
        <f>IFERROR(IF(LEN(중요_시점3[[#This Row],[요일]])=0,"",IF(AND(M$7=$E34,$F34=1),중요_시점_표식,"")),"")</f>
        <v/>
      </c>
      <c r="N34" s="26" t="str">
        <f>IFERROR(IF(LEN(중요_시점3[[#This Row],[요일]])=0,"",IF(AND(N$7=$E34,$F34=1),중요_시점_표식,"")),"")</f>
        <v/>
      </c>
      <c r="O34" s="26" t="str">
        <f>IFERROR(IF(LEN(중요_시점3[[#This Row],[요일]])=0,"",IF(AND(O$7=$E34,$F34=1),중요_시점_표식,"")),"")</f>
        <v/>
      </c>
      <c r="P34" s="26" t="str">
        <f>IFERROR(IF(LEN(중요_시점3[[#This Row],[요일]])=0,"",IF(AND(P$7=$E34,$F34=1),중요_시점_표식,"")),"")</f>
        <v/>
      </c>
      <c r="Q34" s="26" t="str">
        <f>IFERROR(IF(LEN(중요_시점3[[#This Row],[요일]])=0,"",IF(AND(Q$7=$E34,$F34=1),중요_시점_표식,"")),"")</f>
        <v/>
      </c>
      <c r="R34" s="26" t="str">
        <f>IFERROR(IF(LEN(중요_시점3[[#This Row],[요일]])=0,"",IF(AND(R$7=$E34,$F34=1),중요_시점_표식,"")),"")</f>
        <v/>
      </c>
      <c r="S34" s="26" t="str">
        <f>IFERROR(IF(LEN(중요_시점3[[#This Row],[요일]])=0,"",IF(AND(S$7=$E34,$F34=1),중요_시점_표식,"")),"")</f>
        <v/>
      </c>
      <c r="T34" s="26" t="str">
        <f>IFERROR(IF(LEN(중요_시점3[[#This Row],[요일]])=0,"",IF(AND(T$7=$E34,$F34=1),중요_시점_표식,"")),"")</f>
        <v/>
      </c>
      <c r="U34" s="26" t="str">
        <f>IFERROR(IF(LEN(중요_시점3[[#This Row],[요일]])=0,"",IF(AND(U$7=$E34,$F34=1),중요_시점_표식,"")),"")</f>
        <v/>
      </c>
      <c r="V34" s="26" t="str">
        <f>IFERROR(IF(LEN(중요_시점3[[#This Row],[요일]])=0,"",IF(AND(V$7=$E34,$F34=1),중요_시점_표식,"")),"")</f>
        <v/>
      </c>
      <c r="W34" s="26" t="str">
        <f>IFERROR(IF(LEN(중요_시점3[[#This Row],[요일]])=0,"",IF(AND(W$7=$E34,$F34=1),중요_시점_표식,"")),"")</f>
        <v/>
      </c>
      <c r="X34" s="26" t="str">
        <f>IFERROR(IF(LEN(중요_시점3[[#This Row],[요일]])=0,"",IF(AND(X$7=$E34,$F34=1),중요_시점_표식,"")),"")</f>
        <v/>
      </c>
      <c r="Y34" s="26" t="str">
        <f>IFERROR(IF(LEN(중요_시점3[[#This Row],[요일]])=0,"",IF(AND(Y$7=$E34,$F34=1),중요_시점_표식,"")),"")</f>
        <v/>
      </c>
      <c r="Z34" s="26" t="str">
        <f>IFERROR(IF(LEN(중요_시점3[[#This Row],[요일]])=0,"",IF(AND(Z$7=$E34,$F34=1),중요_시점_표식,"")),"")</f>
        <v/>
      </c>
      <c r="AA34" s="26" t="str">
        <f>IFERROR(IF(LEN(중요_시점3[[#This Row],[요일]])=0,"",IF(AND(AA$7=$E34,$F34=1),중요_시점_표식,"")),"")</f>
        <v/>
      </c>
      <c r="AB34" s="26" t="str">
        <f>IFERROR(IF(LEN(중요_시점3[[#This Row],[요일]])=0,"",IF(AND(AB$7=$E34,$F34=1),중요_시점_표식,"")),"")</f>
        <v/>
      </c>
      <c r="AC34" s="26" t="str">
        <f>IFERROR(IF(LEN(중요_시점3[[#This Row],[요일]])=0,"",IF(AND(AC$7=$E34,$F34=1),중요_시점_표식,"")),"")</f>
        <v/>
      </c>
      <c r="AD34" s="26" t="str">
        <f>IFERROR(IF(LEN(중요_시점3[[#This Row],[요일]])=0,"",IF(AND(AD$7=$E34,$F34=1),중요_시점_표식,"")),"")</f>
        <v/>
      </c>
      <c r="AE34" s="26" t="str">
        <f>IFERROR(IF(LEN(중요_시점3[[#This Row],[요일]])=0,"",IF(AND(AE$7=$E34,$F34=1),중요_시점_표식,"")),"")</f>
        <v/>
      </c>
      <c r="AF34" s="26" t="str">
        <f>IFERROR(IF(LEN(중요_시점3[[#This Row],[요일]])=0,"",IF(AND(AF$7=$E34,$F34=1),중요_시점_표식,"")),"")</f>
        <v/>
      </c>
      <c r="AG34" s="26" t="str">
        <f>IFERROR(IF(LEN(중요_시점3[[#This Row],[요일]])=0,"",IF(AND(AG$7=$E34,$F34=1),중요_시점_표식,"")),"")</f>
        <v/>
      </c>
      <c r="AH34" s="26" t="str">
        <f>IFERROR(IF(LEN(중요_시점3[[#This Row],[요일]])=0,"",IF(AND(AH$7=$E34,$F34=1),중요_시점_표식,"")),"")</f>
        <v/>
      </c>
      <c r="AI34" s="26" t="str">
        <f>IFERROR(IF(LEN(중요_시점3[[#This Row],[요일]])=0,"",IF(AND(AI$7=$E34,$F34=1),중요_시점_표식,"")),"")</f>
        <v/>
      </c>
      <c r="AJ34" s="26" t="str">
        <f>IFERROR(IF(LEN(중요_시점3[[#This Row],[요일]])=0,"",IF(AND(AJ$7=$E34,$F34=1),중요_시점_표식,"")),"")</f>
        <v/>
      </c>
      <c r="AK34" s="26" t="str">
        <f>IFERROR(IF(LEN(중요_시점3[[#This Row],[요일]])=0,"",IF(AND(AK$7=$E34,$F34=1),중요_시점_표식,"")),"")</f>
        <v/>
      </c>
      <c r="AL34" s="26" t="str">
        <f>IFERROR(IF(LEN(중요_시점3[[#This Row],[요일]])=0,"",IF(AND(AL$7=$E34,$F34=1),중요_시점_표식,"")),"")</f>
        <v/>
      </c>
      <c r="AM34" s="26" t="str">
        <f>IFERROR(IF(LEN(중요_시점3[[#This Row],[요일]])=0,"",IF(AND(AM$7=$E34,$F34=1),중요_시점_표식,"")),"")</f>
        <v/>
      </c>
      <c r="AN34" s="26" t="str">
        <f>IFERROR(IF(LEN(중요_시점3[[#This Row],[요일]])=0,"",IF(AND(AN$7=$E34,$F34=1),중요_시점_표식,"")),"")</f>
        <v/>
      </c>
      <c r="AO34" s="26" t="str">
        <f>IFERROR(IF(LEN(중요_시점3[[#This Row],[요일]])=0,"",IF(AND(AO$7=$E34,$F34=1),중요_시점_표식,"")),"")</f>
        <v/>
      </c>
      <c r="AP34" s="26" t="str">
        <f>IFERROR(IF(LEN(중요_시점3[[#This Row],[요일]])=0,"",IF(AND(AP$7=$E34,$F34=1),중요_시점_표식,"")),"")</f>
        <v/>
      </c>
      <c r="AQ34" s="26" t="str">
        <f>IFERROR(IF(LEN(중요_시점3[[#This Row],[요일]])=0,"",IF(AND(AQ$7=$E34,$F34=1),중요_시점_표식,"")),"")</f>
        <v/>
      </c>
      <c r="AR34" s="26" t="str">
        <f>IFERROR(IF(LEN(중요_시점3[[#This Row],[요일]])=0,"",IF(AND(AR$7=$E34,$F34=1),중요_시점_표식,"")),"")</f>
        <v/>
      </c>
      <c r="AS34" s="26" t="str">
        <f>IFERROR(IF(LEN(중요_시점3[[#This Row],[요일]])=0,"",IF(AND(AS$7=$E34,$F34=1),중요_시점_표식,"")),"")</f>
        <v/>
      </c>
      <c r="AT34" s="26" t="str">
        <f>IFERROR(IF(LEN(중요_시점3[[#This Row],[요일]])=0,"",IF(AND(AT$7=$E34,$F34=1),중요_시점_표식,"")),"")</f>
        <v/>
      </c>
      <c r="AU34" s="26" t="str">
        <f>IFERROR(IF(LEN(중요_시점3[[#This Row],[요일]])=0,"",IF(AND(AU$7=$E34,$F34=1),중요_시점_표식,"")),"")</f>
        <v/>
      </c>
      <c r="AV34" s="26" t="str">
        <f>IFERROR(IF(LEN(중요_시점3[[#This Row],[요일]])=0,"",IF(AND(AV$7=$E34,$F34=1),중요_시점_표식,"")),"")</f>
        <v/>
      </c>
      <c r="AW34" s="26" t="str">
        <f>IFERROR(IF(LEN(중요_시점3[[#This Row],[요일]])=0,"",IF(AND(AW$7=$E34,$F34=1),중요_시점_표식,"")),"")</f>
        <v/>
      </c>
      <c r="AX34" s="26" t="str">
        <f>IFERROR(IF(LEN(중요_시점3[[#This Row],[요일]])=0,"",IF(AND(AX$7=$E34,$F34=1),중요_시점_표식,"")),"")</f>
        <v/>
      </c>
      <c r="AY34" s="26" t="str">
        <f>IFERROR(IF(LEN(중요_시점3[[#This Row],[요일]])=0,"",IF(AND(AY$7=$E34,$F34=1),중요_시점_표식,"")),"")</f>
        <v/>
      </c>
      <c r="AZ34" s="26" t="str">
        <f>IFERROR(IF(LEN(중요_시점3[[#This Row],[요일]])=0,"",IF(AND(AZ$7=$E34,$F34=1),중요_시점_표식,"")),"")</f>
        <v/>
      </c>
      <c r="BA34" s="26" t="str">
        <f>IFERROR(IF(LEN(중요_시점3[[#This Row],[요일]])=0,"",IF(AND(BA$7=$E34,$F34=1),중요_시점_표식,"")),"")</f>
        <v/>
      </c>
      <c r="BB34" s="26" t="str">
        <f>IFERROR(IF(LEN(중요_시점3[[#This Row],[요일]])=0,"",IF(AND(BB$7=$E34,$F34=1),중요_시점_표식,"")),"")</f>
        <v/>
      </c>
      <c r="BC34" s="26" t="str">
        <f>IFERROR(IF(LEN(중요_시점3[[#This Row],[요일]])=0,"",IF(AND(BC$7=$E34,$F34=1),중요_시점_표식,"")),"")</f>
        <v/>
      </c>
      <c r="BD34" s="26" t="str">
        <f>IFERROR(IF(LEN(중요_시점3[[#This Row],[요일]])=0,"",IF(AND(BD$7=$E34,$F34=1),중요_시점_표식,"")),"")</f>
        <v/>
      </c>
      <c r="BE34" s="26" t="str">
        <f>IFERROR(IF(LEN(중요_시점3[[#This Row],[요일]])=0,"",IF(AND(BE$7=$E34,$F34=1),중요_시점_표식,"")),"")</f>
        <v/>
      </c>
      <c r="BF34" s="26" t="str">
        <f>IFERROR(IF(LEN(중요_시점3[[#This Row],[요일]])=0,"",IF(AND(BF$7=$E34,$F34=1),중요_시점_표식,"")),"")</f>
        <v/>
      </c>
      <c r="BG34" s="26" t="str">
        <f>IFERROR(IF(LEN(중요_시점3[[#This Row],[요일]])=0,"",IF(AND(BG$7=$E34,$F34=1),중요_시점_표식,"")),"")</f>
        <v/>
      </c>
      <c r="BH34" s="26" t="str">
        <f>IFERROR(IF(LEN(중요_시점3[[#This Row],[요일]])=0,"",IF(AND(BH$7=$E34,$F34=1),중요_시점_표식,"")),"")</f>
        <v/>
      </c>
      <c r="BI34" s="26" t="str">
        <f>IFERROR(IF(LEN(중요_시점3[[#This Row],[요일]])=0,"",IF(AND(BI$7=$E34,$F34=1),중요_시점_표식,"")),"")</f>
        <v/>
      </c>
      <c r="BJ34" s="26" t="str">
        <f>IFERROR(IF(LEN(중요_시점3[[#This Row],[요일]])=0,"",IF(AND(BJ$7=$E34,$F34=1),중요_시점_표식,"")),"")</f>
        <v/>
      </c>
      <c r="BK34" s="26" t="str">
        <f>IFERROR(IF(LEN(중요_시점3[[#This Row],[요일]])=0,"",IF(AND(BK$7=$E34,$F34=1),중요_시점_표식,"")),"")</f>
        <v/>
      </c>
    </row>
    <row r="35" spans="1:63" s="1" customFormat="1" ht="30" customHeight="1" thickBot="1">
      <c r="A35" s="6"/>
      <c r="B35" s="8" t="s">
        <v>18</v>
      </c>
      <c r="C35" s="8"/>
      <c r="D35" s="8"/>
      <c r="E35" s="17"/>
      <c r="F35" s="8"/>
      <c r="G35" s="15"/>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row>
    <row r="36" spans="1:63" customFormat="1" ht="30" customHeight="1">
      <c r="A36" s="5"/>
      <c r="C36" s="4"/>
      <c r="E36" s="2"/>
      <c r="F36" s="7"/>
      <c r="G36" s="3"/>
    </row>
    <row r="37" spans="1:63" ht="30" customHeight="1">
      <c r="C37" s="99"/>
    </row>
  </sheetData>
  <mergeCells count="1">
    <mergeCell ref="O5:T5"/>
  </mergeCells>
  <phoneticPr fontId="25" type="noConversion"/>
  <conditionalFormatting sqref="D8:D34">
    <cfRule type="dataBar" priority="4">
      <dataBar>
        <cfvo type="num" val="0"/>
        <cfvo type="num" val="1"/>
        <color theme="5" tint="0.79998168889431442"/>
      </dataBar>
      <extLst>
        <ext xmlns:x14="http://schemas.microsoft.com/office/spreadsheetml/2009/9/main" uri="{B025F937-C7B1-47D3-B67F-A62EFF666E3E}">
          <x14:id>{540286B8-7AC6-4E36-9AC6-B473250C18BE}</x14:id>
        </ext>
      </extLst>
    </cfRule>
  </conditionalFormatting>
  <conditionalFormatting sqref="H10:BK34">
    <cfRule type="expression" dxfId="8" priority="6">
      <formula>H$7&lt;=오늘​​</formula>
    </cfRule>
  </conditionalFormatting>
  <conditionalFormatting sqref="H9:BK34">
    <cfRule type="expression" dxfId="7" priority="5" stopIfTrue="1">
      <formula>AND(H$7&gt;=$E9+1,H$7&lt;=$E9+$F9-2)</formula>
    </cfRule>
  </conditionalFormatting>
  <conditionalFormatting sqref="H7:BK8">
    <cfRule type="expression" dxfId="6" priority="1">
      <formula>H$7&lt;=TODAY()</formula>
    </cfRule>
  </conditionalFormatting>
  <dataValidations count="9">
    <dataValidation type="whole" operator="greaterThanOrEqual" allowBlank="1" showInputMessage="1" promptTitle="스크롤 증가값" prompt="이 숫자를 변경하면 Gantt 차트 보기가 스크롤됩니다." sqref="U5" xr:uid="{CA577E92-4007-4828-97D2-1115074536AD}">
      <formula1>0</formula1>
    </dataValidation>
    <dataValidation allowBlank="1" showInputMessage="1" showErrorMessage="1" prompt="이 행에는 Gantt 중요 시점 데이터의 끝이 표시됩니다. 이 행에는 아무것도 입력하지 마세요. _x000a__x000a_항목을 추가하려면 이 위에 새 행을 삽입합니다." sqref="A35" xr:uid="{CCD2E5E5-784F-499B-A260-3012F9776CF7}"/>
    <dataValidation allowBlank="1" showInputMessage="1" showErrorMessage="1" promptTitle="프로젝트 정보 입력 " prompt="B10 셀부터 F10 셀까지 시작하여, 중요 시점 설명을 입력하고, 항목에 할당하고, 작업 진행률을 완료율로 입력하고, 작업의 시작 날짜와 기간을 일수로 입력합니다. Gantt 차트가 자동으로 업데이트됩니다. " sqref="A10" xr:uid="{99028776-0983-4A2B-8229-E9B1B386B54F}"/>
    <dataValidation allowBlank="1" showInputMessage="1" showErrorMessage="1" prompt="B8에는 프로젝트 일정에 대한 머리글이 포함되어 있습니다. H8에서 BK8까지는 위의 날짜에 대한 각 요일의 첫 번째 문자가 있습니다. 모든 시간 표시 막대 차트 작성은 입력한 시작 날짜와 일수를 기준으로 자동으로 생성됩니다." sqref="A8" xr:uid="{6F1A3A71-D702-478F-9FFD-6E9EEB73617E}"/>
    <dataValidation allowBlank="1" showInputMessage="1" showErrorMessage="1" prompt="6행의 날짜에 대한 월이 H6 셀부터 BK6 셀까지 표시됩니다. 월의 일수는 7행에 있으며 H7 셀부터 시작됩니다. 이 셀들을 수정하지 마세요. 이 셀들은 프로젝트 시작 날짜와 스크롤 막대 증가값을 기준으로 자동 업데이트됩니다." sqref="A7" xr:uid="{8C342261-B10E-4601-B76E-640195D7AA7C}"/>
    <dataValidation allowBlank="1" showInputMessage="1" showErrorMessage="1" prompt="기본 중요 시점 표식 유형을 수정하려면 C6 셀에 0, 1 또는 2를 입력합니다. 해당 표식이 D6 셀에 나타납니다. 표식을 변경하려면 해당 셀과 아래 표에 대한 조건부 형식을 수정하세요._x000a_" sqref="A6" xr:uid="{CD437DD6-BE85-451D-A743-D3169C6E7E83}"/>
    <dataValidation allowBlank="1" showInputMessage="1" showErrorMessage="1" prompt="스크롤 증가값은 U5 셀에 있습니다. 스크롤 막대는 H5 셀에서 M5 셀까지 있습니다. 스크롤 증가값을 늘리거나 스크롤 막대를 사용하면 Gantt 차트 시간 표시 막대가 증가합니다. _x000a_U5 셀에 0을 입력하면 차트가 프로젝트 시작 부분으로 재설정됩니다._x000a_" sqref="A5" xr:uid="{72B61B62-4789-4963-8EAF-32E01925CDAE}"/>
    <dataValidation allowBlank="1" showInputMessage="1" showErrorMessage="1" prompt="B3 셀에 회사 이름을 입력합니다._x000a__x000a_B4 셀에 프로젝트 관리자의 이름을 입력합니다._x000a__x000a_C5 셀에 프로젝트 시작 날짜를 입력하거나 샘플 수식이 Gantt 데이터 테이블에서 가장 작은 날짜 값을 찾도록 허용합니다. 프로젝트 시작 날짜: 레이블은 B5 셀에 있습니다." sqref="A3" xr:uid="{92B18A7A-1717-401F-9085-4097F5D30A04}"/>
    <dataValidation allowBlank="1" showInputMessage="1" showErrorMessage="1" promptTitle="Gantt 차트 만들기 " prompt="B2 셀에 이 프로젝트의 제목을 입력하세요. _x000a___x000a_화면 판독기 및 이 통합 문서 작성자에 대한 지침을 포함하여 이 워크시트를 사용하는 방법에 대한 정보는 정보 워크시트에 있습니다._x000a_A 열을 계속 탐색하여 추가 지침을 들어보세요." sqref="A2" xr:uid="{275D46EB-2262-46B5-B921-A7AE07606CFE}"/>
  </dataValidations>
  <printOptions horizontalCentered="1"/>
  <pageMargins left="0.25" right="0.25" top="0.5" bottom="0.5" header="0.3" footer="0.3"/>
  <pageSetup paperSize="9" scale="44"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스크롤 막대 1">
              <controlPr defaultSize="0" autoPict="0" altText="Gantt 시간 표시줄을 스크롤하기 위한 스크롤 막대입니다.">
                <anchor moveWithCells="1">
                  <from>
                    <xdr:col>7</xdr:col>
                    <xdr:colOff>38100</xdr:colOff>
                    <xdr:row>4</xdr:row>
                    <xdr:rowOff>28575</xdr:rowOff>
                  </from>
                  <to>
                    <xdr:col>12</xdr:col>
                    <xdr:colOff>257175</xdr:colOff>
                    <xdr:row>4</xdr:row>
                    <xdr:rowOff>352425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540286B8-7AC6-4E36-9AC6-B473250C18BE}">
            <x14:dataBar minLength="0" maxLength="100" gradient="0">
              <x14:cfvo type="num">
                <xm:f>0</xm:f>
              </x14:cfvo>
              <x14:cfvo type="num">
                <xm:f>1</xm:f>
              </x14:cfvo>
              <x14:negativeFillColor rgb="FFFF0000"/>
              <x14:axisColor rgb="FF000000"/>
            </x14:dataBar>
          </x14:cfRule>
          <xm:sqref>D8:D34</xm:sqref>
        </x14:conditionalFormatting>
        <x14:conditionalFormatting xmlns:xm="http://schemas.microsoft.com/office/excel/2006/main">
          <x14:cfRule type="iconSet" priority="3" id="{6CFD343A-60A2-44CC-9D18-C16DD3A9DB07}">
            <x14:iconSet iconSet="3Stars" showValue="0" custom="1">
              <x14:cfvo type="percent">
                <xm:f>0</xm:f>
              </x14:cfvo>
              <x14:cfvo type="num">
                <xm:f>1</xm:f>
              </x14:cfvo>
              <x14:cfvo type="num">
                <xm:f>2</xm:f>
              </x14:cfvo>
              <x14:cfIcon iconSet="3Signs" iconId="1"/>
              <x14:cfIcon iconSet="3Flags" iconId="0"/>
              <x14:cfIcon iconSet="3Signs" iconId="0"/>
            </x14:iconSet>
          </x14:cfRule>
          <xm:sqref>H9:BK34</xm:sqref>
        </x14:conditionalFormatting>
        <x14:conditionalFormatting xmlns:xm="http://schemas.microsoft.com/office/excel/2006/main">
          <x14:cfRule type="iconSet" priority="2" id="{1851E5B4-F402-404C-8872-A860F2752922}">
            <x14:iconSet iconSet="3Flags" showValue="0" custom="1">
              <x14:cfvo type="percent">
                <xm:f>0</xm:f>
              </x14:cfvo>
              <x14:cfvo type="num">
                <xm:f>1</xm:f>
              </x14:cfvo>
              <x14:cfvo type="num">
                <xm:f>2</xm:f>
              </x14:cfvo>
              <x14:cfIcon iconSet="3Signs" iconId="1"/>
              <x14:cfIcon iconSet="3Flags" iconId="0"/>
              <x14:cfIcon iconSet="3Signs" iconId="0"/>
            </x14:iconSet>
          </x14:cfRule>
          <xm:sqref>D6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K37"/>
  <sheetViews>
    <sheetView showGridLines="0" showRuler="0" zoomScale="90" zoomScaleNormal="90" zoomScalePageLayoutView="70" workbookViewId="0"/>
  </sheetViews>
  <sheetFormatPr defaultRowHeight="30" customHeight="1" outlineLevelRow="1"/>
  <cols>
    <col min="1" max="1" width="4.75" style="5" customWidth="1"/>
    <col min="2" max="2" width="25.75" customWidth="1"/>
    <col min="3" max="3" width="18.75" style="100" customWidth="1"/>
    <col min="4" max="4" width="13.75" style="100" customWidth="1"/>
    <col min="5" max="5" width="13.75" style="101" customWidth="1"/>
    <col min="6" max="6" width="13.75" style="100" customWidth="1"/>
    <col min="7" max="7" width="2.75" style="100" customWidth="1"/>
    <col min="8" max="63" width="3.625" style="100" customWidth="1"/>
    <col min="64" max="67" width="9" style="100"/>
    <col min="68" max="69" width="10.25" style="100"/>
    <col min="70" max="16384" width="9" style="100"/>
  </cols>
  <sheetData>
    <row r="1" spans="1:63" customFormat="1" ht="25.15" customHeight="1">
      <c r="A1" s="5"/>
      <c r="E1" s="2"/>
    </row>
    <row r="2" spans="1:63" customFormat="1" ht="50.1" customHeight="1">
      <c r="A2" s="60"/>
      <c r="B2" s="70" t="s">
        <v>3</v>
      </c>
      <c r="C2" s="45"/>
      <c r="D2" s="46"/>
      <c r="E2" s="46"/>
      <c r="F2" s="61"/>
      <c r="G2" s="39"/>
      <c r="H2" s="39"/>
      <c r="I2" s="65"/>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row>
    <row r="3" spans="1:63" customFormat="1" ht="30" customHeight="1">
      <c r="A3" s="6"/>
      <c r="B3" s="76" t="s">
        <v>4</v>
      </c>
      <c r="C3" s="72"/>
      <c r="D3" s="73"/>
      <c r="E3" s="73"/>
      <c r="F3" s="74"/>
      <c r="G3" s="1"/>
      <c r="H3" s="1"/>
      <c r="I3" s="75"/>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customFormat="1" ht="30" customHeight="1">
      <c r="A4" s="5"/>
      <c r="B4" s="76" t="s">
        <v>5</v>
      </c>
      <c r="E4" s="47"/>
      <c r="I4" s="18"/>
      <c r="J4" s="18"/>
      <c r="K4" s="18"/>
      <c r="L4" s="18"/>
      <c r="M4" s="18"/>
      <c r="N4" s="18"/>
    </row>
    <row r="5" spans="1:63" customFormat="1" ht="30" customHeight="1">
      <c r="A5" s="6"/>
      <c r="B5" s="62" t="s">
        <v>6</v>
      </c>
      <c r="C5" s="47">
        <f ca="1">IFERROR(IF(MIN(중요 #REF!)=0,TODAY(),MIN(중요 #REF!)),TODAY())</f>
        <v>44588</v>
      </c>
      <c r="E5" s="63"/>
      <c r="H5" s="36"/>
      <c r="I5" s="37"/>
      <c r="J5" s="37"/>
      <c r="K5" s="37"/>
      <c r="L5" s="37"/>
      <c r="M5" s="38"/>
      <c r="O5" s="104" t="s">
        <v>23</v>
      </c>
      <c r="P5" s="104"/>
      <c r="Q5" s="104"/>
      <c r="R5" s="104"/>
      <c r="S5" s="104"/>
      <c r="T5" s="104"/>
      <c r="U5" s="48">
        <v>13</v>
      </c>
      <c r="V5" s="71"/>
    </row>
    <row r="6" spans="1:63" customFormat="1" ht="30" customHeight="1">
      <c r="A6" s="6"/>
      <c r="B6" s="64" t="s">
        <v>7</v>
      </c>
      <c r="C6" s="48">
        <v>1</v>
      </c>
      <c r="D6" s="48">
        <f>중요_시점_표식</f>
        <v>1</v>
      </c>
      <c r="E6" s="2"/>
      <c r="H6" s="77" t="str">
        <f ca="1">TEXT(H7,"m월")</f>
        <v>2월</v>
      </c>
      <c r="I6" s="77"/>
      <c r="J6" s="77"/>
      <c r="K6" s="77"/>
      <c r="L6" s="25"/>
      <c r="M6" s="25"/>
      <c r="N6" s="23"/>
      <c r="O6" s="23" t="str">
        <f ca="1">IF(TEXT(O7,"m월")=H6,"",TEXT(O7,"m월"))</f>
        <v/>
      </c>
      <c r="P6" s="23"/>
      <c r="Q6" s="23"/>
      <c r="R6" s="23"/>
      <c r="S6" s="23"/>
      <c r="T6" s="23"/>
      <c r="U6" s="23"/>
      <c r="V6" s="23" t="str">
        <f ca="1">IF(OR(TEXT(V7,"m월")=O6,TEXT(V7,"m월")=H6),"",TEXT(V7,"m월"))</f>
        <v/>
      </c>
      <c r="W6" s="23"/>
      <c r="X6" s="23"/>
      <c r="Y6" s="23"/>
      <c r="Z6" s="23"/>
      <c r="AA6" s="23"/>
      <c r="AB6" s="23"/>
      <c r="AC6" s="23" t="str">
        <f ca="1">IF(OR(TEXT(AC7,"m월")=V6,TEXT(AC7,"m월")=O6,TEXT(AC7,"m월")=H6),"",TEXT(AC7,"m월"))</f>
        <v>3월</v>
      </c>
      <c r="AD6" s="23"/>
      <c r="AE6" s="23"/>
      <c r="AF6" s="23"/>
      <c r="AG6" s="23"/>
      <c r="AH6" s="23"/>
      <c r="AI6" s="23"/>
      <c r="AJ6" s="78" t="str">
        <f ca="1">IF(OR(TEXT(AJ7,"m월")=AC6,TEXT(AJ7,"m월")=V6,TEXT(AJ7,"m월")=O6,TEXT(AJ7,"m월")=H6),"",TEXT(AJ7,"m월"))</f>
        <v/>
      </c>
      <c r="AK6" s="78"/>
      <c r="AL6" s="78"/>
      <c r="AM6" s="78"/>
      <c r="AN6" s="78"/>
      <c r="AO6" s="23"/>
      <c r="AP6" s="23"/>
      <c r="AQ6" s="23" t="str">
        <f ca="1">IF(OR(TEXT(AQ7,"m월")=AJ6,TEXT(AQ7,"m월")=AC6,TEXT(AQ7,"m월")=V6,TEXT(AQ7,"m월")=O6),"",TEXT(AQ7,"m월"))</f>
        <v/>
      </c>
      <c r="AR6" s="23"/>
      <c r="AS6" s="23"/>
      <c r="AT6" s="23"/>
      <c r="AU6" s="23"/>
      <c r="AV6" s="23"/>
      <c r="AW6" s="23"/>
      <c r="AX6" s="23" t="str">
        <f ca="1">IF(OR(TEXT(AX7,"m월")=AQ6,TEXT(AX7,"m월")=AJ6,TEXT(AX7,"m월")=AC6,TEXT(AX7,"m월")=V6),"",TEXT(AX7,"m월"))</f>
        <v/>
      </c>
      <c r="AY6" s="23"/>
      <c r="AZ6" s="23"/>
      <c r="BA6" s="23"/>
      <c r="BB6" s="23"/>
      <c r="BC6" s="23"/>
      <c r="BD6" s="23"/>
      <c r="BE6" s="23" t="str">
        <f ca="1">IF(OR(TEXT(BE7,"m월")=AX6,TEXT(BE7,"m월")=AQ6,TEXT(BE7,"m월")=AJ6,TEXT(BE7,"m월")=AC6),"",TEXT(BE7,"m월"))</f>
        <v/>
      </c>
      <c r="BF6" s="23"/>
      <c r="BG6" s="23"/>
      <c r="BH6" s="23"/>
      <c r="BI6" s="23"/>
      <c r="BJ6" s="23"/>
      <c r="BK6" s="23"/>
    </row>
    <row r="7" spans="1:63" customFormat="1" ht="18" customHeight="1">
      <c r="A7" s="6"/>
      <c r="B7" s="19"/>
      <c r="E7" s="2"/>
      <c r="H7" s="54">
        <f ca="1">IFERROR(Project_Start+스크롤_증분,TODAY())</f>
        <v>44601</v>
      </c>
      <c r="I7" s="56">
        <f ca="1">H7+1</f>
        <v>44602</v>
      </c>
      <c r="J7" s="56">
        <f t="shared" ref="J7:AW7" ca="1" si="0">I7+1</f>
        <v>44603</v>
      </c>
      <c r="K7" s="56">
        <f ca="1">J7+1</f>
        <v>44604</v>
      </c>
      <c r="L7" s="56">
        <f t="shared" ca="1" si="0"/>
        <v>44605</v>
      </c>
      <c r="M7" s="56">
        <f t="shared" ca="1" si="0"/>
        <v>44606</v>
      </c>
      <c r="N7" s="56">
        <f t="shared" ca="1" si="0"/>
        <v>44607</v>
      </c>
      <c r="O7" s="56">
        <f ca="1">N7+1</f>
        <v>44608</v>
      </c>
      <c r="P7" s="56">
        <f ca="1">O7+1</f>
        <v>44609</v>
      </c>
      <c r="Q7" s="56">
        <f t="shared" ca="1" si="0"/>
        <v>44610</v>
      </c>
      <c r="R7" s="56">
        <f t="shared" ca="1" si="0"/>
        <v>44611</v>
      </c>
      <c r="S7" s="56">
        <f t="shared" ca="1" si="0"/>
        <v>44612</v>
      </c>
      <c r="T7" s="56">
        <f t="shared" ca="1" si="0"/>
        <v>44613</v>
      </c>
      <c r="U7" s="56">
        <f t="shared" ca="1" si="0"/>
        <v>44614</v>
      </c>
      <c r="V7" s="56">
        <f ca="1">U7+1</f>
        <v>44615</v>
      </c>
      <c r="W7" s="56">
        <f ca="1">V7+1</f>
        <v>44616</v>
      </c>
      <c r="X7" s="56">
        <f t="shared" ca="1" si="0"/>
        <v>44617</v>
      </c>
      <c r="Y7" s="56">
        <f t="shared" ca="1" si="0"/>
        <v>44618</v>
      </c>
      <c r="Z7" s="56">
        <f t="shared" ca="1" si="0"/>
        <v>44619</v>
      </c>
      <c r="AA7" s="56">
        <f t="shared" ca="1" si="0"/>
        <v>44620</v>
      </c>
      <c r="AB7" s="56">
        <f t="shared" ca="1" si="0"/>
        <v>44621</v>
      </c>
      <c r="AC7" s="56">
        <f ca="1">AB7+1</f>
        <v>44622</v>
      </c>
      <c r="AD7" s="56">
        <f ca="1">AC7+1</f>
        <v>44623</v>
      </c>
      <c r="AE7" s="56">
        <f t="shared" ca="1" si="0"/>
        <v>44624</v>
      </c>
      <c r="AF7" s="56">
        <f t="shared" ca="1" si="0"/>
        <v>44625</v>
      </c>
      <c r="AG7" s="56">
        <f t="shared" ca="1" si="0"/>
        <v>44626</v>
      </c>
      <c r="AH7" s="56">
        <f t="shared" ca="1" si="0"/>
        <v>44627</v>
      </c>
      <c r="AI7" s="56">
        <f t="shared" ca="1" si="0"/>
        <v>44628</v>
      </c>
      <c r="AJ7" s="56">
        <f ca="1">AI7+1</f>
        <v>44629</v>
      </c>
      <c r="AK7" s="56">
        <f ca="1">AJ7+1</f>
        <v>44630</v>
      </c>
      <c r="AL7" s="56">
        <f t="shared" ca="1" si="0"/>
        <v>44631</v>
      </c>
      <c r="AM7" s="56">
        <f t="shared" ca="1" si="0"/>
        <v>44632</v>
      </c>
      <c r="AN7" s="56">
        <f t="shared" ca="1" si="0"/>
        <v>44633</v>
      </c>
      <c r="AO7" s="56">
        <f t="shared" ca="1" si="0"/>
        <v>44634</v>
      </c>
      <c r="AP7" s="56">
        <f t="shared" ca="1" si="0"/>
        <v>44635</v>
      </c>
      <c r="AQ7" s="56">
        <f ca="1">AP7+1</f>
        <v>44636</v>
      </c>
      <c r="AR7" s="56">
        <f ca="1">AQ7+1</f>
        <v>44637</v>
      </c>
      <c r="AS7" s="56">
        <f t="shared" ca="1" si="0"/>
        <v>44638</v>
      </c>
      <c r="AT7" s="56">
        <f t="shared" ca="1" si="0"/>
        <v>44639</v>
      </c>
      <c r="AU7" s="56">
        <f t="shared" ca="1" si="0"/>
        <v>44640</v>
      </c>
      <c r="AV7" s="56">
        <f t="shared" ca="1" si="0"/>
        <v>44641</v>
      </c>
      <c r="AW7" s="56">
        <f t="shared" ca="1" si="0"/>
        <v>44642</v>
      </c>
      <c r="AX7" s="56">
        <f ca="1">AW7+1</f>
        <v>44643</v>
      </c>
      <c r="AY7" s="56">
        <f ca="1">AX7+1</f>
        <v>44644</v>
      </c>
      <c r="AZ7" s="56">
        <f t="shared" ref="AZ7:BD7" ca="1" si="1">AY7+1</f>
        <v>44645</v>
      </c>
      <c r="BA7" s="56">
        <f t="shared" ca="1" si="1"/>
        <v>44646</v>
      </c>
      <c r="BB7" s="56">
        <f t="shared" ca="1" si="1"/>
        <v>44647</v>
      </c>
      <c r="BC7" s="56">
        <f t="shared" ca="1" si="1"/>
        <v>44648</v>
      </c>
      <c r="BD7" s="56">
        <f t="shared" ca="1" si="1"/>
        <v>44649</v>
      </c>
      <c r="BE7" s="56">
        <f ca="1">BD7+1</f>
        <v>44650</v>
      </c>
      <c r="BF7" s="56">
        <f ca="1">BE7+1</f>
        <v>44651</v>
      </c>
      <c r="BG7" s="56">
        <f t="shared" ref="BG7:BK7" ca="1" si="2">BF7+1</f>
        <v>44652</v>
      </c>
      <c r="BH7" s="56">
        <f t="shared" ca="1" si="2"/>
        <v>44653</v>
      </c>
      <c r="BI7" s="56">
        <f t="shared" ca="1" si="2"/>
        <v>44654</v>
      </c>
      <c r="BJ7" s="56">
        <f t="shared" ca="1" si="2"/>
        <v>44655</v>
      </c>
      <c r="BK7" s="24">
        <f t="shared" ca="1" si="2"/>
        <v>44656</v>
      </c>
    </row>
    <row r="8" spans="1:63" customFormat="1" ht="30.95" customHeight="1">
      <c r="A8" s="6"/>
      <c r="B8" s="21" t="s">
        <v>8</v>
      </c>
      <c r="C8" s="22" t="s">
        <v>19</v>
      </c>
      <c r="D8" s="22" t="s">
        <v>20</v>
      </c>
      <c r="E8" s="22" t="s">
        <v>21</v>
      </c>
      <c r="F8" s="22" t="s">
        <v>22</v>
      </c>
      <c r="G8" s="59"/>
      <c r="H8" s="58" t="str">
        <f t="shared" ref="H8:AM8" ca="1" si="3">LEFT(TEXT(H7,"aaa"),1)</f>
        <v>수</v>
      </c>
      <c r="I8" s="57" t="str">
        <f t="shared" ca="1" si="3"/>
        <v>목</v>
      </c>
      <c r="J8" s="57" t="str">
        <f t="shared" ca="1" si="3"/>
        <v>금</v>
      </c>
      <c r="K8" s="57" t="str">
        <f t="shared" ca="1" si="3"/>
        <v>토</v>
      </c>
      <c r="L8" s="57" t="str">
        <f t="shared" ca="1" si="3"/>
        <v>일</v>
      </c>
      <c r="M8" s="57" t="str">
        <f t="shared" ca="1" si="3"/>
        <v>월</v>
      </c>
      <c r="N8" s="57" t="str">
        <f t="shared" ca="1" si="3"/>
        <v>화</v>
      </c>
      <c r="O8" s="57" t="str">
        <f t="shared" ca="1" si="3"/>
        <v>수</v>
      </c>
      <c r="P8" s="57" t="str">
        <f t="shared" ca="1" si="3"/>
        <v>목</v>
      </c>
      <c r="Q8" s="57" t="str">
        <f t="shared" ca="1" si="3"/>
        <v>금</v>
      </c>
      <c r="R8" s="57" t="str">
        <f t="shared" ca="1" si="3"/>
        <v>토</v>
      </c>
      <c r="S8" s="57" t="str">
        <f t="shared" ca="1" si="3"/>
        <v>일</v>
      </c>
      <c r="T8" s="57" t="str">
        <f t="shared" ca="1" si="3"/>
        <v>월</v>
      </c>
      <c r="U8" s="57" t="str">
        <f t="shared" ca="1" si="3"/>
        <v>화</v>
      </c>
      <c r="V8" s="57" t="str">
        <f t="shared" ca="1" si="3"/>
        <v>수</v>
      </c>
      <c r="W8" s="57" t="str">
        <f t="shared" ca="1" si="3"/>
        <v>목</v>
      </c>
      <c r="X8" s="57" t="str">
        <f t="shared" ca="1" si="3"/>
        <v>금</v>
      </c>
      <c r="Y8" s="57" t="str">
        <f t="shared" ca="1" si="3"/>
        <v>토</v>
      </c>
      <c r="Z8" s="57" t="str">
        <f t="shared" ca="1" si="3"/>
        <v>일</v>
      </c>
      <c r="AA8" s="57" t="str">
        <f t="shared" ca="1" si="3"/>
        <v>월</v>
      </c>
      <c r="AB8" s="57" t="str">
        <f t="shared" ca="1" si="3"/>
        <v>화</v>
      </c>
      <c r="AC8" s="57" t="str">
        <f t="shared" ca="1" si="3"/>
        <v>수</v>
      </c>
      <c r="AD8" s="57" t="str">
        <f t="shared" ca="1" si="3"/>
        <v>목</v>
      </c>
      <c r="AE8" s="57" t="str">
        <f t="shared" ca="1" si="3"/>
        <v>금</v>
      </c>
      <c r="AF8" s="57" t="str">
        <f t="shared" ca="1" si="3"/>
        <v>토</v>
      </c>
      <c r="AG8" s="57" t="str">
        <f t="shared" ca="1" si="3"/>
        <v>일</v>
      </c>
      <c r="AH8" s="57" t="str">
        <f t="shared" ca="1" si="3"/>
        <v>월</v>
      </c>
      <c r="AI8" s="57" t="str">
        <f t="shared" ca="1" si="3"/>
        <v>화</v>
      </c>
      <c r="AJ8" s="57" t="str">
        <f t="shared" ca="1" si="3"/>
        <v>수</v>
      </c>
      <c r="AK8" s="57" t="str">
        <f t="shared" ca="1" si="3"/>
        <v>목</v>
      </c>
      <c r="AL8" s="57" t="str">
        <f t="shared" ca="1" si="3"/>
        <v>금</v>
      </c>
      <c r="AM8" s="57" t="str">
        <f t="shared" ca="1" si="3"/>
        <v>토</v>
      </c>
      <c r="AN8" s="57" t="str">
        <f t="shared" ref="AN8:BS8" ca="1" si="4">LEFT(TEXT(AN7,"aaa"),1)</f>
        <v>일</v>
      </c>
      <c r="AO8" s="57" t="str">
        <f t="shared" ca="1" si="4"/>
        <v>월</v>
      </c>
      <c r="AP8" s="57" t="str">
        <f t="shared" ca="1" si="4"/>
        <v>화</v>
      </c>
      <c r="AQ8" s="57" t="str">
        <f t="shared" ca="1" si="4"/>
        <v>수</v>
      </c>
      <c r="AR8" s="57" t="str">
        <f t="shared" ca="1" si="4"/>
        <v>목</v>
      </c>
      <c r="AS8" s="57" t="str">
        <f t="shared" ca="1" si="4"/>
        <v>금</v>
      </c>
      <c r="AT8" s="57" t="str">
        <f t="shared" ca="1" si="4"/>
        <v>토</v>
      </c>
      <c r="AU8" s="57" t="str">
        <f t="shared" ca="1" si="4"/>
        <v>일</v>
      </c>
      <c r="AV8" s="57" t="str">
        <f t="shared" ca="1" si="4"/>
        <v>월</v>
      </c>
      <c r="AW8" s="57" t="str">
        <f t="shared" ca="1" si="4"/>
        <v>화</v>
      </c>
      <c r="AX8" s="57" t="str">
        <f t="shared" ca="1" si="4"/>
        <v>수</v>
      </c>
      <c r="AY8" s="57" t="str">
        <f t="shared" ca="1" si="4"/>
        <v>목</v>
      </c>
      <c r="AZ8" s="57" t="str">
        <f t="shared" ca="1" si="4"/>
        <v>금</v>
      </c>
      <c r="BA8" s="57" t="str">
        <f t="shared" ca="1" si="4"/>
        <v>토</v>
      </c>
      <c r="BB8" s="57" t="str">
        <f t="shared" ca="1" si="4"/>
        <v>일</v>
      </c>
      <c r="BC8" s="57" t="str">
        <f t="shared" ca="1" si="4"/>
        <v>월</v>
      </c>
      <c r="BD8" s="57" t="str">
        <f t="shared" ca="1" si="4"/>
        <v>화</v>
      </c>
      <c r="BE8" s="57" t="str">
        <f t="shared" ca="1" si="4"/>
        <v>수</v>
      </c>
      <c r="BF8" s="57" t="str">
        <f t="shared" ca="1" si="4"/>
        <v>목</v>
      </c>
      <c r="BG8" s="57" t="str">
        <f t="shared" ca="1" si="4"/>
        <v>금</v>
      </c>
      <c r="BH8" s="57" t="str">
        <f t="shared" ca="1" si="4"/>
        <v>토</v>
      </c>
      <c r="BI8" s="57" t="str">
        <f t="shared" ca="1" si="4"/>
        <v>일</v>
      </c>
      <c r="BJ8" s="57" t="str">
        <f t="shared" ca="1" si="4"/>
        <v>월</v>
      </c>
      <c r="BK8" s="55" t="str">
        <f t="shared" ca="1" si="4"/>
        <v>화</v>
      </c>
    </row>
    <row r="9" spans="1:63" customFormat="1" ht="30" hidden="1" customHeight="1" thickBot="1">
      <c r="A9" s="5"/>
      <c r="B9" s="16"/>
      <c r="C9" s="9"/>
      <c r="D9" s="10"/>
      <c r="E9" s="11"/>
      <c r="F9" s="12"/>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row>
    <row r="10" spans="1:63" s="1" customFormat="1" ht="30" customHeight="1">
      <c r="A10" s="6"/>
      <c r="B10" s="40" t="s">
        <v>9</v>
      </c>
      <c r="C10" s="13"/>
      <c r="D10" s="10"/>
      <c r="E10" s="11"/>
      <c r="F10" s="12"/>
      <c r="G10" s="27"/>
      <c r="H10" s="26" t="str">
        <f>IFERROR(IF(LEN(중요_시점[[#This Row],[요일]])=0,"",IF(AND(H$7=$E10,$F10=1),중요_시점_표식,"")),"")</f>
        <v/>
      </c>
      <c r="I10" s="26" t="str">
        <f>IFERROR(IF(LEN(중요_시점[[#This Row],[요일]])=0,"",IF(AND(I$7=$E10,$F10=1),중요_시점_표식,"")),"")</f>
        <v/>
      </c>
      <c r="J10" s="26" t="str">
        <f>IFERROR(IF(LEN(중요_시점[[#This Row],[요일]])=0,"",IF(AND(J$7=$E10,$F10=1),중요_시점_표식,"")),"")</f>
        <v/>
      </c>
      <c r="K10" s="26" t="str">
        <f>IFERROR(IF(LEN(중요_시점[[#This Row],[요일]])=0,"",IF(AND(K$7=$E10,$F10=1),중요_시점_표식,"")),"")</f>
        <v/>
      </c>
      <c r="L10" s="26" t="str">
        <f>IFERROR(IF(LEN(중요_시점[[#This Row],[요일]])=0,"",IF(AND(L$7=$E10,$F10=1),중요_시점_표식,"")),"")</f>
        <v/>
      </c>
      <c r="M10" s="26" t="str">
        <f>IFERROR(IF(LEN(중요_시점[[#This Row],[요일]])=0,"",IF(AND(M$7=$E10,$F10=1),중요_시점_표식,"")),"")</f>
        <v/>
      </c>
      <c r="N10" s="26" t="str">
        <f>IFERROR(IF(LEN(중요_시점[[#This Row],[요일]])=0,"",IF(AND(N$7=$E10,$F10=1),중요_시점_표식,"")),"")</f>
        <v/>
      </c>
      <c r="O10" s="26" t="str">
        <f>IFERROR(IF(LEN(중요_시점[[#This Row],[요일]])=0,"",IF(AND(O$7=$E10,$F10=1),중요_시점_표식,"")),"")</f>
        <v/>
      </c>
      <c r="P10" s="26" t="str">
        <f>IFERROR(IF(LEN(중요_시점[[#This Row],[요일]])=0,"",IF(AND(P$7=$E10,$F10=1),중요_시점_표식,"")),"")</f>
        <v/>
      </c>
      <c r="Q10" s="26" t="str">
        <f>IFERROR(IF(LEN(중요_시점[[#This Row],[요일]])=0,"",IF(AND(Q$7=$E10,$F10=1),중요_시점_표식,"")),"")</f>
        <v/>
      </c>
      <c r="R10" s="26" t="str">
        <f>IFERROR(IF(LEN(중요_시점[[#This Row],[요일]])=0,"",IF(AND(R$7=$E10,$F10=1),중요_시점_표식,"")),"")</f>
        <v/>
      </c>
      <c r="S10" s="26" t="str">
        <f>IFERROR(IF(LEN(중요_시점[[#This Row],[요일]])=0,"",IF(AND(S$7=$E10,$F10=1),중요_시점_표식,"")),"")</f>
        <v/>
      </c>
      <c r="T10" s="26" t="str">
        <f>IFERROR(IF(LEN(중요_시점[[#This Row],[요일]])=0,"",IF(AND(T$7=$E10,$F10=1),중요_시점_표식,"")),"")</f>
        <v/>
      </c>
      <c r="U10" s="26" t="str">
        <f>IFERROR(IF(LEN(중요_시점[[#This Row],[요일]])=0,"",IF(AND(U$7=$E10,$F10=1),중요_시점_표식,"")),"")</f>
        <v/>
      </c>
      <c r="V10" s="26" t="str">
        <f>IFERROR(IF(LEN(중요_시점[[#This Row],[요일]])=0,"",IF(AND(V$7=$E10,$F10=1),중요_시점_표식,"")),"")</f>
        <v/>
      </c>
      <c r="W10" s="26" t="str">
        <f>IFERROR(IF(LEN(중요_시점[[#This Row],[요일]])=0,"",IF(AND(W$7=$E10,$F10=1),중요_시점_표식,"")),"")</f>
        <v/>
      </c>
      <c r="X10" s="26" t="str">
        <f>IFERROR(IF(LEN(중요_시점[[#This Row],[요일]])=0,"",IF(AND(X$7=$E10,$F10=1),중요_시점_표식,"")),"")</f>
        <v/>
      </c>
      <c r="Y10" s="26" t="str">
        <f>IFERROR(IF(LEN(중요_시점[[#This Row],[요일]])=0,"",IF(AND(Y$7=$E10,$F10=1),중요_시점_표식,"")),"")</f>
        <v/>
      </c>
      <c r="Z10" s="26" t="str">
        <f>IFERROR(IF(LEN(중요_시점[[#This Row],[요일]])=0,"",IF(AND(Z$7=$E10,$F10=1),중요_시점_표식,"")),"")</f>
        <v/>
      </c>
      <c r="AA10" s="26" t="str">
        <f>IFERROR(IF(LEN(중요_시점[[#This Row],[요일]])=0,"",IF(AND(AA$7=$E10,$F10=1),중요_시점_표식,"")),"")</f>
        <v/>
      </c>
      <c r="AB10" s="26" t="str">
        <f>IFERROR(IF(LEN(중요_시점[[#This Row],[요일]])=0,"",IF(AND(AB$7=$E10,$F10=1),중요_시점_표식,"")),"")</f>
        <v/>
      </c>
      <c r="AC10" s="26" t="str">
        <f>IFERROR(IF(LEN(중요_시점[[#This Row],[요일]])=0,"",IF(AND(AC$7=$E10,$F10=1),중요_시점_표식,"")),"")</f>
        <v/>
      </c>
      <c r="AD10" s="26" t="str">
        <f>IFERROR(IF(LEN(중요_시점[[#This Row],[요일]])=0,"",IF(AND(AD$7=$E10,$F10=1),중요_시점_표식,"")),"")</f>
        <v/>
      </c>
      <c r="AE10" s="26" t="str">
        <f>IFERROR(IF(LEN(중요_시점[[#This Row],[요일]])=0,"",IF(AND(AE$7=$E10,$F10=1),중요_시점_표식,"")),"")</f>
        <v/>
      </c>
      <c r="AF10" s="26" t="str">
        <f>IFERROR(IF(LEN(중요_시점[[#This Row],[요일]])=0,"",IF(AND(AF$7=$E10,$F10=1),중요_시점_표식,"")),"")</f>
        <v/>
      </c>
      <c r="AG10" s="26" t="str">
        <f>IFERROR(IF(LEN(중요_시점[[#This Row],[요일]])=0,"",IF(AND(AG$7=$E10,$F10=1),중요_시점_표식,"")),"")</f>
        <v/>
      </c>
      <c r="AH10" s="26" t="str">
        <f>IFERROR(IF(LEN(중요_시점[[#This Row],[요일]])=0,"",IF(AND(AH$7=$E10,$F10=1),중요_시점_표식,"")),"")</f>
        <v/>
      </c>
      <c r="AI10" s="26" t="str">
        <f>IFERROR(IF(LEN(중요_시점[[#This Row],[요일]])=0,"",IF(AND(AI$7=$E10,$F10=1),중요_시점_표식,"")),"")</f>
        <v/>
      </c>
      <c r="AJ10" s="26" t="str">
        <f>IFERROR(IF(LEN(중요_시점[[#This Row],[요일]])=0,"",IF(AND(AJ$7=$E10,$F10=1),중요_시점_표식,"")),"")</f>
        <v/>
      </c>
      <c r="AK10" s="26" t="str">
        <f>IFERROR(IF(LEN(중요_시점[[#This Row],[요일]])=0,"",IF(AND(AK$7=$E10,$F10=1),중요_시점_표식,"")),"")</f>
        <v/>
      </c>
      <c r="AL10" s="26" t="str">
        <f>IFERROR(IF(LEN(중요_시점[[#This Row],[요일]])=0,"",IF(AND(AL$7=$E10,$F10=1),중요_시점_표식,"")),"")</f>
        <v/>
      </c>
      <c r="AM10" s="26" t="str">
        <f>IFERROR(IF(LEN(중요_시점[[#This Row],[요일]])=0,"",IF(AND(AM$7=$E10,$F10=1),중요_시점_표식,"")),"")</f>
        <v/>
      </c>
      <c r="AN10" s="26" t="str">
        <f>IFERROR(IF(LEN(중요_시점[[#This Row],[요일]])=0,"",IF(AND(AN$7=$E10,$F10=1),중요_시점_표식,"")),"")</f>
        <v/>
      </c>
      <c r="AO10" s="26" t="str">
        <f>IFERROR(IF(LEN(중요_시점[[#This Row],[요일]])=0,"",IF(AND(AO$7=$E10,$F10=1),중요_시점_표식,"")),"")</f>
        <v/>
      </c>
      <c r="AP10" s="26" t="str">
        <f>IFERROR(IF(LEN(중요_시점[[#This Row],[요일]])=0,"",IF(AND(AP$7=$E10,$F10=1),중요_시점_표식,"")),"")</f>
        <v/>
      </c>
      <c r="AQ10" s="26" t="str">
        <f>IFERROR(IF(LEN(중요_시점[[#This Row],[요일]])=0,"",IF(AND(AQ$7=$E10,$F10=1),중요_시점_표식,"")),"")</f>
        <v/>
      </c>
      <c r="AR10" s="26" t="str">
        <f>IFERROR(IF(LEN(중요_시점[[#This Row],[요일]])=0,"",IF(AND(AR$7=$E10,$F10=1),중요_시점_표식,"")),"")</f>
        <v/>
      </c>
      <c r="AS10" s="26" t="str">
        <f>IFERROR(IF(LEN(중요_시점[[#This Row],[요일]])=0,"",IF(AND(AS$7=$E10,$F10=1),중요_시점_표식,"")),"")</f>
        <v/>
      </c>
      <c r="AT10" s="26" t="str">
        <f>IFERROR(IF(LEN(중요_시점[[#This Row],[요일]])=0,"",IF(AND(AT$7=$E10,$F10=1),중요_시점_표식,"")),"")</f>
        <v/>
      </c>
      <c r="AU10" s="26" t="str">
        <f>IFERROR(IF(LEN(중요_시점[[#This Row],[요일]])=0,"",IF(AND(AU$7=$E10,$F10=1),중요_시점_표식,"")),"")</f>
        <v/>
      </c>
      <c r="AV10" s="26" t="str">
        <f>IFERROR(IF(LEN(중요_시점[[#This Row],[요일]])=0,"",IF(AND(AV$7=$E10,$F10=1),중요_시점_표식,"")),"")</f>
        <v/>
      </c>
      <c r="AW10" s="26" t="str">
        <f>IFERROR(IF(LEN(중요_시점[[#This Row],[요일]])=0,"",IF(AND(AW$7=$E10,$F10=1),중요_시점_표식,"")),"")</f>
        <v/>
      </c>
      <c r="AX10" s="26" t="str">
        <f>IFERROR(IF(LEN(중요_시점[[#This Row],[요일]])=0,"",IF(AND(AX$7=$E10,$F10=1),중요_시점_표식,"")),"")</f>
        <v/>
      </c>
      <c r="AY10" s="26" t="str">
        <f>IFERROR(IF(LEN(중요_시점[[#This Row],[요일]])=0,"",IF(AND(AY$7=$E10,$F10=1),중요_시점_표식,"")),"")</f>
        <v/>
      </c>
      <c r="AZ10" s="26" t="str">
        <f>IFERROR(IF(LEN(중요_시점[[#This Row],[요일]])=0,"",IF(AND(AZ$7=$E10,$F10=1),중요_시점_표식,"")),"")</f>
        <v/>
      </c>
      <c r="BA10" s="26" t="str">
        <f>IFERROR(IF(LEN(중요_시점[[#This Row],[요일]])=0,"",IF(AND(BA$7=$E10,$F10=1),중요_시점_표식,"")),"")</f>
        <v/>
      </c>
      <c r="BB10" s="26" t="str">
        <f>IFERROR(IF(LEN(중요_시점[[#This Row],[요일]])=0,"",IF(AND(BB$7=$E10,$F10=1),중요_시점_표식,"")),"")</f>
        <v/>
      </c>
      <c r="BC10" s="26" t="str">
        <f>IFERROR(IF(LEN(중요_시점[[#This Row],[요일]])=0,"",IF(AND(BC$7=$E10,$F10=1),중요_시점_표식,"")),"")</f>
        <v/>
      </c>
      <c r="BD10" s="26" t="str">
        <f>IFERROR(IF(LEN(중요_시점[[#This Row],[요일]])=0,"",IF(AND(BD$7=$E10,$F10=1),중요_시점_표식,"")),"")</f>
        <v/>
      </c>
      <c r="BE10" s="26" t="str">
        <f>IFERROR(IF(LEN(중요_시점[[#This Row],[요일]])=0,"",IF(AND(BE$7=$E10,$F10=1),중요_시점_표식,"")),"")</f>
        <v/>
      </c>
      <c r="BF10" s="26" t="str">
        <f>IFERROR(IF(LEN(중요_시점[[#This Row],[요일]])=0,"",IF(AND(BF$7=$E10,$F10=1),중요_시점_표식,"")),"")</f>
        <v/>
      </c>
      <c r="BG10" s="26" t="str">
        <f>IFERROR(IF(LEN(중요_시점[[#This Row],[요일]])=0,"",IF(AND(BG$7=$E10,$F10=1),중요_시점_표식,"")),"")</f>
        <v/>
      </c>
      <c r="BH10" s="26" t="str">
        <f>IFERROR(IF(LEN(중요_시점[[#This Row],[요일]])=0,"",IF(AND(BH$7=$E10,$F10=1),중요_시점_표식,"")),"")</f>
        <v/>
      </c>
      <c r="BI10" s="26" t="str">
        <f>IFERROR(IF(LEN(중요_시점[[#This Row],[요일]])=0,"",IF(AND(BI$7=$E10,$F10=1),중요_시점_표식,"")),"")</f>
        <v/>
      </c>
      <c r="BJ10" s="26" t="str">
        <f>IFERROR(IF(LEN(중요_시점[[#This Row],[요일]])=0,"",IF(AND(BJ$7=$E10,$F10=1),중요_시점_표식,"")),"")</f>
        <v/>
      </c>
      <c r="BK10" s="26" t="str">
        <f>IFERROR(IF(LEN(중요_시점[[#This Row],[요일]])=0,"",IF(AND(BK$7=$E10,$F10=1),중요_시점_표식,"")),"")</f>
        <v/>
      </c>
    </row>
    <row r="11" spans="1:63" s="1" customFormat="1" ht="30" customHeight="1" outlineLevel="1">
      <c r="A11" s="6"/>
      <c r="B11" s="49" t="s">
        <v>10</v>
      </c>
      <c r="C11" s="13"/>
      <c r="D11" s="43">
        <v>0.25</v>
      </c>
      <c r="E11" s="42">
        <f ca="1">TODAY()</f>
        <v>44588</v>
      </c>
      <c r="F11" s="12">
        <v>3</v>
      </c>
      <c r="G11" s="27"/>
      <c r="H11" s="26" t="str">
        <f ca="1">IFERROR(IF(LEN(중요_시점[[#This Row],[요일]])=0,"",IF(AND(H$7=$E11,$F11=1),중요_시점_표식,"")),"")</f>
        <v/>
      </c>
      <c r="I11" s="26" t="str">
        <f ca="1">IFERROR(IF(LEN(중요_시점[[#This Row],[요일]])=0,"",IF(AND(I$7=$E11,$F11=1),중요_시점_표식,"")),"")</f>
        <v/>
      </c>
      <c r="J11" s="26" t="str">
        <f ca="1">IFERROR(IF(LEN(중요_시점[[#This Row],[요일]])=0,"",IF(AND(J$7=$E11,$F11=1),중요_시점_표식,"")),"")</f>
        <v/>
      </c>
      <c r="K11" s="26" t="str">
        <f ca="1">IFERROR(IF(LEN(중요_시점[[#This Row],[요일]])=0,"",IF(AND(K$7=$E11,$F11=1),중요_시점_표식,"")),"")</f>
        <v/>
      </c>
      <c r="L11" s="26" t="str">
        <f ca="1">IFERROR(IF(LEN(중요_시점[[#This Row],[요일]])=0,"",IF(AND(L$7=$E11,$F11=1),중요_시점_표식,"")),"")</f>
        <v/>
      </c>
      <c r="M11" s="26" t="str">
        <f ca="1">IFERROR(IF(LEN(중요_시점[[#This Row],[요일]])=0,"",IF(AND(M$7=$E11,$F11=1),중요_시점_표식,"")),"")</f>
        <v/>
      </c>
      <c r="N11" s="26" t="str">
        <f ca="1">IFERROR(IF(LEN(중요_시점[[#This Row],[요일]])=0,"",IF(AND(N$7=$E11,$F11=1),중요_시점_표식,"")),"")</f>
        <v/>
      </c>
      <c r="O11" s="26" t="str">
        <f ca="1">IFERROR(IF(LEN(중요_시점[[#This Row],[요일]])=0,"",IF(AND(O$7=$E11,$F11=1),중요_시점_표식,"")),"")</f>
        <v/>
      </c>
      <c r="P11" s="26" t="str">
        <f ca="1">IFERROR(IF(LEN(중요_시점[[#This Row],[요일]])=0,"",IF(AND(P$7=$E11,$F11=1),중요_시점_표식,"")),"")</f>
        <v/>
      </c>
      <c r="Q11" s="26" t="str">
        <f ca="1">IFERROR(IF(LEN(중요_시점[[#This Row],[요일]])=0,"",IF(AND(Q$7=$E11,$F11=1),중요_시점_표식,"")),"")</f>
        <v/>
      </c>
      <c r="R11" s="26" t="str">
        <f ca="1">IFERROR(IF(LEN(중요_시점[[#This Row],[요일]])=0,"",IF(AND(R$7=$E11,$F11=1),중요_시점_표식,"")),"")</f>
        <v/>
      </c>
      <c r="S11" s="26" t="str">
        <f ca="1">IFERROR(IF(LEN(중요_시점[[#This Row],[요일]])=0,"",IF(AND(S$7=$E11,$F11=1),중요_시점_표식,"")),"")</f>
        <v/>
      </c>
      <c r="T11" s="26" t="str">
        <f ca="1">IFERROR(IF(LEN(중요_시점[[#This Row],[요일]])=0,"",IF(AND(T$7=$E11,$F11=1),중요_시점_표식,"")),"")</f>
        <v/>
      </c>
      <c r="U11" s="26" t="str">
        <f ca="1">IFERROR(IF(LEN(중요_시점[[#This Row],[요일]])=0,"",IF(AND(U$7=$E11,$F11=1),중요_시점_표식,"")),"")</f>
        <v/>
      </c>
      <c r="V11" s="26" t="str">
        <f ca="1">IFERROR(IF(LEN(중요_시점[[#This Row],[요일]])=0,"",IF(AND(V$7=$E11,$F11=1),중요_시점_표식,"")),"")</f>
        <v/>
      </c>
      <c r="W11" s="26" t="str">
        <f ca="1">IFERROR(IF(LEN(중요_시점[[#This Row],[요일]])=0,"",IF(AND(W$7=$E11,$F11=1),중요_시점_표식,"")),"")</f>
        <v/>
      </c>
      <c r="X11" s="26" t="str">
        <f ca="1">IFERROR(IF(LEN(중요_시점[[#This Row],[요일]])=0,"",IF(AND(X$7=$E11,$F11=1),중요_시점_표식,"")),"")</f>
        <v/>
      </c>
      <c r="Y11" s="26" t="str">
        <f ca="1">IFERROR(IF(LEN(중요_시점[[#This Row],[요일]])=0,"",IF(AND(Y$7=$E11,$F11=1),중요_시점_표식,"")),"")</f>
        <v/>
      </c>
      <c r="Z11" s="26" t="str">
        <f ca="1">IFERROR(IF(LEN(중요_시점[[#This Row],[요일]])=0,"",IF(AND(Z$7=$E11,$F11=1),중요_시점_표식,"")),"")</f>
        <v/>
      </c>
      <c r="AA11" s="26" t="str">
        <f ca="1">IFERROR(IF(LEN(중요_시점[[#This Row],[요일]])=0,"",IF(AND(AA$7=$E11,$F11=1),중요_시점_표식,"")),"")</f>
        <v/>
      </c>
      <c r="AB11" s="26" t="str">
        <f ca="1">IFERROR(IF(LEN(중요_시점[[#This Row],[요일]])=0,"",IF(AND(AB$7=$E11,$F11=1),중요_시점_표식,"")),"")</f>
        <v/>
      </c>
      <c r="AC11" s="26" t="str">
        <f ca="1">IFERROR(IF(LEN(중요_시점[[#This Row],[요일]])=0,"",IF(AND(AC$7=$E11,$F11=1),중요_시점_표식,"")),"")</f>
        <v/>
      </c>
      <c r="AD11" s="26" t="str">
        <f ca="1">IFERROR(IF(LEN(중요_시점[[#This Row],[요일]])=0,"",IF(AND(AD$7=$E11,$F11=1),중요_시점_표식,"")),"")</f>
        <v/>
      </c>
      <c r="AE11" s="26" t="str">
        <f ca="1">IFERROR(IF(LEN(중요_시점[[#This Row],[요일]])=0,"",IF(AND(AE$7=$E11,$F11=1),중요_시점_표식,"")),"")</f>
        <v/>
      </c>
      <c r="AF11" s="26" t="str">
        <f ca="1">IFERROR(IF(LEN(중요_시점[[#This Row],[요일]])=0,"",IF(AND(AF$7=$E11,$F11=1),중요_시점_표식,"")),"")</f>
        <v/>
      </c>
      <c r="AG11" s="26" t="str">
        <f ca="1">IFERROR(IF(LEN(중요_시점[[#This Row],[요일]])=0,"",IF(AND(AG$7=$E11,$F11=1),중요_시점_표식,"")),"")</f>
        <v/>
      </c>
      <c r="AH11" s="26" t="str">
        <f ca="1">IFERROR(IF(LEN(중요_시점[[#This Row],[요일]])=0,"",IF(AND(AH$7=$E11,$F11=1),중요_시점_표식,"")),"")</f>
        <v/>
      </c>
      <c r="AI11" s="26" t="str">
        <f ca="1">IFERROR(IF(LEN(중요_시점[[#This Row],[요일]])=0,"",IF(AND(AI$7=$E11,$F11=1),중요_시점_표식,"")),"")</f>
        <v/>
      </c>
      <c r="AJ11" s="26" t="str">
        <f ca="1">IFERROR(IF(LEN(중요_시점[[#This Row],[요일]])=0,"",IF(AND(AJ$7=$E11,$F11=1),중요_시점_표식,"")),"")</f>
        <v/>
      </c>
      <c r="AK11" s="26" t="str">
        <f ca="1">IFERROR(IF(LEN(중요_시점[[#This Row],[요일]])=0,"",IF(AND(AK$7=$E11,$F11=1),중요_시점_표식,"")),"")</f>
        <v/>
      </c>
      <c r="AL11" s="26" t="str">
        <f ca="1">IFERROR(IF(LEN(중요_시점[[#This Row],[요일]])=0,"",IF(AND(AL$7=$E11,$F11=1),중요_시점_표식,"")),"")</f>
        <v/>
      </c>
      <c r="AM11" s="26" t="str">
        <f ca="1">IFERROR(IF(LEN(중요_시점[[#This Row],[요일]])=0,"",IF(AND(AM$7=$E11,$F11=1),중요_시점_표식,"")),"")</f>
        <v/>
      </c>
      <c r="AN11" s="26" t="str">
        <f ca="1">IFERROR(IF(LEN(중요_시점[[#This Row],[요일]])=0,"",IF(AND(AN$7=$E11,$F11=1),중요_시점_표식,"")),"")</f>
        <v/>
      </c>
      <c r="AO11" s="26" t="str">
        <f ca="1">IFERROR(IF(LEN(중요_시점[[#This Row],[요일]])=0,"",IF(AND(AO$7=$E11,$F11=1),중요_시점_표식,"")),"")</f>
        <v/>
      </c>
      <c r="AP11" s="26" t="str">
        <f ca="1">IFERROR(IF(LEN(중요_시점[[#This Row],[요일]])=0,"",IF(AND(AP$7=$E11,$F11=1),중요_시점_표식,"")),"")</f>
        <v/>
      </c>
      <c r="AQ11" s="26" t="str">
        <f ca="1">IFERROR(IF(LEN(중요_시점[[#This Row],[요일]])=0,"",IF(AND(AQ$7=$E11,$F11=1),중요_시점_표식,"")),"")</f>
        <v/>
      </c>
      <c r="AR11" s="26" t="str">
        <f ca="1">IFERROR(IF(LEN(중요_시점[[#This Row],[요일]])=0,"",IF(AND(AR$7=$E11,$F11=1),중요_시점_표식,"")),"")</f>
        <v/>
      </c>
      <c r="AS11" s="26" t="str">
        <f ca="1">IFERROR(IF(LEN(중요_시점[[#This Row],[요일]])=0,"",IF(AND(AS$7=$E11,$F11=1),중요_시점_표식,"")),"")</f>
        <v/>
      </c>
      <c r="AT11" s="26" t="str">
        <f ca="1">IFERROR(IF(LEN(중요_시점[[#This Row],[요일]])=0,"",IF(AND(AT$7=$E11,$F11=1),중요_시점_표식,"")),"")</f>
        <v/>
      </c>
      <c r="AU11" s="26" t="str">
        <f ca="1">IFERROR(IF(LEN(중요_시점[[#This Row],[요일]])=0,"",IF(AND(AU$7=$E11,$F11=1),중요_시점_표식,"")),"")</f>
        <v/>
      </c>
      <c r="AV11" s="26" t="str">
        <f ca="1">IFERROR(IF(LEN(중요_시점[[#This Row],[요일]])=0,"",IF(AND(AV$7=$E11,$F11=1),중요_시점_표식,"")),"")</f>
        <v/>
      </c>
      <c r="AW11" s="26" t="str">
        <f ca="1">IFERROR(IF(LEN(중요_시점[[#This Row],[요일]])=0,"",IF(AND(AW$7=$E11,$F11=1),중요_시점_표식,"")),"")</f>
        <v/>
      </c>
      <c r="AX11" s="26" t="str">
        <f ca="1">IFERROR(IF(LEN(중요_시점[[#This Row],[요일]])=0,"",IF(AND(AX$7=$E11,$F11=1),중요_시점_표식,"")),"")</f>
        <v/>
      </c>
      <c r="AY11" s="26" t="str">
        <f ca="1">IFERROR(IF(LEN(중요_시점[[#This Row],[요일]])=0,"",IF(AND(AY$7=$E11,$F11=1),중요_시점_표식,"")),"")</f>
        <v/>
      </c>
      <c r="AZ11" s="26" t="str">
        <f ca="1">IFERROR(IF(LEN(중요_시점[[#This Row],[요일]])=0,"",IF(AND(AZ$7=$E11,$F11=1),중요_시점_표식,"")),"")</f>
        <v/>
      </c>
      <c r="BA11" s="26" t="str">
        <f ca="1">IFERROR(IF(LEN(중요_시점[[#This Row],[요일]])=0,"",IF(AND(BA$7=$E11,$F11=1),중요_시점_표식,"")),"")</f>
        <v/>
      </c>
      <c r="BB11" s="26" t="str">
        <f ca="1">IFERROR(IF(LEN(중요_시점[[#This Row],[요일]])=0,"",IF(AND(BB$7=$E11,$F11=1),중요_시점_표식,"")),"")</f>
        <v/>
      </c>
      <c r="BC11" s="26" t="str">
        <f ca="1">IFERROR(IF(LEN(중요_시점[[#This Row],[요일]])=0,"",IF(AND(BC$7=$E11,$F11=1),중요_시점_표식,"")),"")</f>
        <v/>
      </c>
      <c r="BD11" s="26" t="str">
        <f ca="1">IFERROR(IF(LEN(중요_시점[[#This Row],[요일]])=0,"",IF(AND(BD$7=$E11,$F11=1),중요_시점_표식,"")),"")</f>
        <v/>
      </c>
      <c r="BE11" s="26" t="str">
        <f ca="1">IFERROR(IF(LEN(중요_시점[[#This Row],[요일]])=0,"",IF(AND(BE$7=$E11,$F11=1),중요_시점_표식,"")),"")</f>
        <v/>
      </c>
      <c r="BF11" s="26" t="str">
        <f ca="1">IFERROR(IF(LEN(중요_시점[[#This Row],[요일]])=0,"",IF(AND(BF$7=$E11,$F11=1),중요_시점_표식,"")),"")</f>
        <v/>
      </c>
      <c r="BG11" s="26" t="str">
        <f ca="1">IFERROR(IF(LEN(중요_시점[[#This Row],[요일]])=0,"",IF(AND(BG$7=$E11,$F11=1),중요_시점_표식,"")),"")</f>
        <v/>
      </c>
      <c r="BH11" s="26" t="str">
        <f ca="1">IFERROR(IF(LEN(중요_시점[[#This Row],[요일]])=0,"",IF(AND(BH$7=$E11,$F11=1),중요_시점_표식,"")),"")</f>
        <v/>
      </c>
      <c r="BI11" s="26" t="str">
        <f ca="1">IFERROR(IF(LEN(중요_시점[[#This Row],[요일]])=0,"",IF(AND(BI$7=$E11,$F11=1),중요_시점_표식,"")),"")</f>
        <v/>
      </c>
      <c r="BJ11" s="26" t="str">
        <f ca="1">IFERROR(IF(LEN(중요_시점[[#This Row],[요일]])=0,"",IF(AND(BJ$7=$E11,$F11=1),중요_시점_표식,"")),"")</f>
        <v/>
      </c>
      <c r="BK11" s="26" t="str">
        <f ca="1">IFERROR(IF(LEN(중요_시점[[#This Row],[요일]])=0,"",IF(AND(BK$7=$E11,$F11=1),중요_시점_표식,"")),"")</f>
        <v/>
      </c>
    </row>
    <row r="12" spans="1:63" s="1" customFormat="1" ht="30" customHeight="1" outlineLevel="1">
      <c r="A12" s="6"/>
      <c r="B12" s="49" t="s">
        <v>11</v>
      </c>
      <c r="C12" s="13"/>
      <c r="D12" s="43"/>
      <c r="E12" s="42">
        <f ca="1">TODAY()+5</f>
        <v>44593</v>
      </c>
      <c r="F12" s="12">
        <v>1</v>
      </c>
      <c r="G12" s="27"/>
      <c r="H12" s="26" t="str">
        <f ca="1">IFERROR(IF(LEN(중요_시점[[#This Row],[요일]])=0,"",IF(AND(H$7=$E12,$F12=1),중요_시점_표식,"")),"")</f>
        <v/>
      </c>
      <c r="I12" s="26" t="str">
        <f ca="1">IFERROR(IF(LEN(중요_시점[[#This Row],[요일]])=0,"",IF(AND(I$7=$E12,$F12=1),중요_시점_표식,"")),"")</f>
        <v/>
      </c>
      <c r="J12" s="26" t="str">
        <f ca="1">IFERROR(IF(LEN(중요_시점[[#This Row],[요일]])=0,"",IF(AND(J$7=$E12,$F12=1),중요_시점_표식,"")),"")</f>
        <v/>
      </c>
      <c r="K12" s="26" t="str">
        <f ca="1">IFERROR(IF(LEN(중요_시점[[#This Row],[요일]])=0,"",IF(AND(K$7=$E12,$F12=1),중요_시점_표식,"")),"")</f>
        <v/>
      </c>
      <c r="L12" s="26" t="str">
        <f ca="1">IFERROR(IF(LEN(중요_시점[[#This Row],[요일]])=0,"",IF(AND(L$7=$E12,$F12=1),중요_시점_표식,"")),"")</f>
        <v/>
      </c>
      <c r="M12" s="26" t="str">
        <f ca="1">IFERROR(IF(LEN(중요_시점[[#This Row],[요일]])=0,"",IF(AND(M$7=$E12,$F12=1),중요_시점_표식,"")),"")</f>
        <v/>
      </c>
      <c r="N12" s="26" t="str">
        <f ca="1">IFERROR(IF(LEN(중요_시점[[#This Row],[요일]])=0,"",IF(AND(N$7=$E12,$F12=1),중요_시점_표식,"")),"")</f>
        <v/>
      </c>
      <c r="O12" s="26" t="str">
        <f ca="1">IFERROR(IF(LEN(중요_시점[[#This Row],[요일]])=0,"",IF(AND(O$7=$E12,$F12=1),중요_시점_표식,"")),"")</f>
        <v/>
      </c>
      <c r="P12" s="26" t="str">
        <f ca="1">IFERROR(IF(LEN(중요_시점[[#This Row],[요일]])=0,"",IF(AND(P$7=$E12,$F12=1),중요_시점_표식,"")),"")</f>
        <v/>
      </c>
      <c r="Q12" s="26" t="str">
        <f ca="1">IFERROR(IF(LEN(중요_시점[[#This Row],[요일]])=0,"",IF(AND(Q$7=$E12,$F12=1),중요_시점_표식,"")),"")</f>
        <v/>
      </c>
      <c r="R12" s="26" t="str">
        <f ca="1">IFERROR(IF(LEN(중요_시점[[#This Row],[요일]])=0,"",IF(AND(R$7=$E12,$F12=1),중요_시점_표식,"")),"")</f>
        <v/>
      </c>
      <c r="S12" s="26" t="str">
        <f ca="1">IFERROR(IF(LEN(중요_시점[[#This Row],[요일]])=0,"",IF(AND(S$7=$E12,$F12=1),중요_시점_표식,"")),"")</f>
        <v/>
      </c>
      <c r="T12" s="26" t="str">
        <f ca="1">IFERROR(IF(LEN(중요_시점[[#This Row],[요일]])=0,"",IF(AND(T$7=$E12,$F12=1),중요_시점_표식,"")),"")</f>
        <v/>
      </c>
      <c r="U12" s="26" t="str">
        <f ca="1">IFERROR(IF(LEN(중요_시점[[#This Row],[요일]])=0,"",IF(AND(U$7=$E12,$F12=1),중요_시점_표식,"")),"")</f>
        <v/>
      </c>
      <c r="V12" s="26" t="str">
        <f ca="1">IFERROR(IF(LEN(중요_시점[[#This Row],[요일]])=0,"",IF(AND(V$7=$E12,$F12=1),중요_시점_표식,"")),"")</f>
        <v/>
      </c>
      <c r="W12" s="26" t="str">
        <f ca="1">IFERROR(IF(LEN(중요_시점[[#This Row],[요일]])=0,"",IF(AND(W$7=$E12,$F12=1),중요_시점_표식,"")),"")</f>
        <v/>
      </c>
      <c r="X12" s="26" t="str">
        <f ca="1">IFERROR(IF(LEN(중요_시점[[#This Row],[요일]])=0,"",IF(AND(X$7=$E12,$F12=1),중요_시점_표식,"")),"")</f>
        <v/>
      </c>
      <c r="Y12" s="26" t="str">
        <f ca="1">IFERROR(IF(LEN(중요_시점[[#This Row],[요일]])=0,"",IF(AND(Y$7=$E12,$F12=1),중요_시점_표식,"")),"")</f>
        <v/>
      </c>
      <c r="Z12" s="26" t="str">
        <f ca="1">IFERROR(IF(LEN(중요_시점[[#This Row],[요일]])=0,"",IF(AND(Z$7=$E12,$F12=1),중요_시점_표식,"")),"")</f>
        <v/>
      </c>
      <c r="AA12" s="26" t="str">
        <f ca="1">IFERROR(IF(LEN(중요_시점[[#This Row],[요일]])=0,"",IF(AND(AA$7=$E12,$F12=1),중요_시점_표식,"")),"")</f>
        <v/>
      </c>
      <c r="AB12" s="26" t="str">
        <f ca="1">IFERROR(IF(LEN(중요_시점[[#This Row],[요일]])=0,"",IF(AND(AB$7=$E12,$F12=1),중요_시점_표식,"")),"")</f>
        <v/>
      </c>
      <c r="AC12" s="26" t="str">
        <f ca="1">IFERROR(IF(LEN(중요_시점[[#This Row],[요일]])=0,"",IF(AND(AC$7=$E12,$F12=1),중요_시점_표식,"")),"")</f>
        <v/>
      </c>
      <c r="AD12" s="26" t="str">
        <f ca="1">IFERROR(IF(LEN(중요_시점[[#This Row],[요일]])=0,"",IF(AND(AD$7=$E12,$F12=1),중요_시점_표식,"")),"")</f>
        <v/>
      </c>
      <c r="AE12" s="26" t="str">
        <f ca="1">IFERROR(IF(LEN(중요_시점[[#This Row],[요일]])=0,"",IF(AND(AE$7=$E12,$F12=1),중요_시점_표식,"")),"")</f>
        <v/>
      </c>
      <c r="AF12" s="26" t="str">
        <f ca="1">IFERROR(IF(LEN(중요_시점[[#This Row],[요일]])=0,"",IF(AND(AF$7=$E12,$F12=1),중요_시점_표식,"")),"")</f>
        <v/>
      </c>
      <c r="AG12" s="26" t="str">
        <f ca="1">IFERROR(IF(LEN(중요_시점[[#This Row],[요일]])=0,"",IF(AND(AG$7=$E12,$F12=1),중요_시점_표식,"")),"")</f>
        <v/>
      </c>
      <c r="AH12" s="26" t="str">
        <f ca="1">IFERROR(IF(LEN(중요_시점[[#This Row],[요일]])=0,"",IF(AND(AH$7=$E12,$F12=1),중요_시점_표식,"")),"")</f>
        <v/>
      </c>
      <c r="AI12" s="26" t="str">
        <f ca="1">IFERROR(IF(LEN(중요_시점[[#This Row],[요일]])=0,"",IF(AND(AI$7=$E12,$F12=1),중요_시점_표식,"")),"")</f>
        <v/>
      </c>
      <c r="AJ12" s="26" t="str">
        <f ca="1">IFERROR(IF(LEN(중요_시점[[#This Row],[요일]])=0,"",IF(AND(AJ$7=$E12,$F12=1),중요_시점_표식,"")),"")</f>
        <v/>
      </c>
      <c r="AK12" s="26" t="str">
        <f ca="1">IFERROR(IF(LEN(중요_시점[[#This Row],[요일]])=0,"",IF(AND(AK$7=$E12,$F12=1),중요_시점_표식,"")),"")</f>
        <v/>
      </c>
      <c r="AL12" s="26" t="str">
        <f ca="1">IFERROR(IF(LEN(중요_시점[[#This Row],[요일]])=0,"",IF(AND(AL$7=$E12,$F12=1),중요_시점_표식,"")),"")</f>
        <v/>
      </c>
      <c r="AM12" s="26" t="str">
        <f ca="1">IFERROR(IF(LEN(중요_시점[[#This Row],[요일]])=0,"",IF(AND(AM$7=$E12,$F12=1),중요_시점_표식,"")),"")</f>
        <v/>
      </c>
      <c r="AN12" s="26" t="str">
        <f ca="1">IFERROR(IF(LEN(중요_시점[[#This Row],[요일]])=0,"",IF(AND(AN$7=$E12,$F12=1),중요_시점_표식,"")),"")</f>
        <v/>
      </c>
      <c r="AO12" s="26" t="str">
        <f ca="1">IFERROR(IF(LEN(중요_시점[[#This Row],[요일]])=0,"",IF(AND(AO$7=$E12,$F12=1),중요_시점_표식,"")),"")</f>
        <v/>
      </c>
      <c r="AP12" s="26" t="str">
        <f ca="1">IFERROR(IF(LEN(중요_시점[[#This Row],[요일]])=0,"",IF(AND(AP$7=$E12,$F12=1),중요_시점_표식,"")),"")</f>
        <v/>
      </c>
      <c r="AQ12" s="26" t="str">
        <f ca="1">IFERROR(IF(LEN(중요_시점[[#This Row],[요일]])=0,"",IF(AND(AQ$7=$E12,$F12=1),중요_시점_표식,"")),"")</f>
        <v/>
      </c>
      <c r="AR12" s="26" t="str">
        <f ca="1">IFERROR(IF(LEN(중요_시점[[#This Row],[요일]])=0,"",IF(AND(AR$7=$E12,$F12=1),중요_시점_표식,"")),"")</f>
        <v/>
      </c>
      <c r="AS12" s="26" t="str">
        <f ca="1">IFERROR(IF(LEN(중요_시점[[#This Row],[요일]])=0,"",IF(AND(AS$7=$E12,$F12=1),중요_시점_표식,"")),"")</f>
        <v/>
      </c>
      <c r="AT12" s="26" t="str">
        <f ca="1">IFERROR(IF(LEN(중요_시점[[#This Row],[요일]])=0,"",IF(AND(AT$7=$E12,$F12=1),중요_시점_표식,"")),"")</f>
        <v/>
      </c>
      <c r="AU12" s="26" t="str">
        <f ca="1">IFERROR(IF(LEN(중요_시점[[#This Row],[요일]])=0,"",IF(AND(AU$7=$E12,$F12=1),중요_시점_표식,"")),"")</f>
        <v/>
      </c>
      <c r="AV12" s="26" t="str">
        <f ca="1">IFERROR(IF(LEN(중요_시점[[#This Row],[요일]])=0,"",IF(AND(AV$7=$E12,$F12=1),중요_시점_표식,"")),"")</f>
        <v/>
      </c>
      <c r="AW12" s="26" t="str">
        <f ca="1">IFERROR(IF(LEN(중요_시점[[#This Row],[요일]])=0,"",IF(AND(AW$7=$E12,$F12=1),중요_시점_표식,"")),"")</f>
        <v/>
      </c>
      <c r="AX12" s="26" t="str">
        <f ca="1">IFERROR(IF(LEN(중요_시점[[#This Row],[요일]])=0,"",IF(AND(AX$7=$E12,$F12=1),중요_시점_표식,"")),"")</f>
        <v/>
      </c>
      <c r="AY12" s="26" t="str">
        <f ca="1">IFERROR(IF(LEN(중요_시점[[#This Row],[요일]])=0,"",IF(AND(AY$7=$E12,$F12=1),중요_시점_표식,"")),"")</f>
        <v/>
      </c>
      <c r="AZ12" s="26" t="str">
        <f ca="1">IFERROR(IF(LEN(중요_시점[[#This Row],[요일]])=0,"",IF(AND(AZ$7=$E12,$F12=1),중요_시점_표식,"")),"")</f>
        <v/>
      </c>
      <c r="BA12" s="26" t="str">
        <f ca="1">IFERROR(IF(LEN(중요_시점[[#This Row],[요일]])=0,"",IF(AND(BA$7=$E12,$F12=1),중요_시점_표식,"")),"")</f>
        <v/>
      </c>
      <c r="BB12" s="26" t="str">
        <f ca="1">IFERROR(IF(LEN(중요_시점[[#This Row],[요일]])=0,"",IF(AND(BB$7=$E12,$F12=1),중요_시점_표식,"")),"")</f>
        <v/>
      </c>
      <c r="BC12" s="26" t="str">
        <f ca="1">IFERROR(IF(LEN(중요_시점[[#This Row],[요일]])=0,"",IF(AND(BC$7=$E12,$F12=1),중요_시점_표식,"")),"")</f>
        <v/>
      </c>
      <c r="BD12" s="26" t="str">
        <f ca="1">IFERROR(IF(LEN(중요_시점[[#This Row],[요일]])=0,"",IF(AND(BD$7=$E12,$F12=1),중요_시점_표식,"")),"")</f>
        <v/>
      </c>
      <c r="BE12" s="26" t="str">
        <f ca="1">IFERROR(IF(LEN(중요_시점[[#This Row],[요일]])=0,"",IF(AND(BE$7=$E12,$F12=1),중요_시점_표식,"")),"")</f>
        <v/>
      </c>
      <c r="BF12" s="26" t="str">
        <f ca="1">IFERROR(IF(LEN(중요_시점[[#This Row],[요일]])=0,"",IF(AND(BF$7=$E12,$F12=1),중요_시점_표식,"")),"")</f>
        <v/>
      </c>
      <c r="BG12" s="26" t="str">
        <f ca="1">IFERROR(IF(LEN(중요_시점[[#This Row],[요일]])=0,"",IF(AND(BG$7=$E12,$F12=1),중요_시점_표식,"")),"")</f>
        <v/>
      </c>
      <c r="BH12" s="26" t="str">
        <f ca="1">IFERROR(IF(LEN(중요_시점[[#This Row],[요일]])=0,"",IF(AND(BH$7=$E12,$F12=1),중요_시점_표식,"")),"")</f>
        <v/>
      </c>
      <c r="BI12" s="26" t="str">
        <f ca="1">IFERROR(IF(LEN(중요_시점[[#This Row],[요일]])=0,"",IF(AND(BI$7=$E12,$F12=1),중요_시점_표식,"")),"")</f>
        <v/>
      </c>
      <c r="BJ12" s="26" t="str">
        <f ca="1">IFERROR(IF(LEN(중요_시점[[#This Row],[요일]])=0,"",IF(AND(BJ$7=$E12,$F12=1),중요_시점_표식,"")),"")</f>
        <v/>
      </c>
      <c r="BK12" s="26" t="str">
        <f ca="1">IFERROR(IF(LEN(중요_시점[[#This Row],[요일]])=0,"",IF(AND(BK$7=$E12,$F12=1),중요_시점_표식,"")),"")</f>
        <v/>
      </c>
    </row>
    <row r="13" spans="1:63" s="1" customFormat="1" ht="30" customHeight="1" outlineLevel="1">
      <c r="A13" s="5"/>
      <c r="B13" s="49" t="s">
        <v>12</v>
      </c>
      <c r="C13" s="13"/>
      <c r="D13" s="43">
        <v>0.5</v>
      </c>
      <c r="E13" s="42">
        <f ca="1">TODAY()-3</f>
        <v>44585</v>
      </c>
      <c r="F13" s="12">
        <v>10</v>
      </c>
      <c r="G13" s="27"/>
      <c r="H13" s="26" t="str">
        <f ca="1">IFERROR(IF(LEN(중요_시점[[#This Row],[요일]])=0,"",IF(AND(H$7=$E13,$F13=1),중요_시점_표식,"")),"")</f>
        <v/>
      </c>
      <c r="I13" s="26" t="str">
        <f ca="1">IFERROR(IF(LEN(중요_시점[[#This Row],[요일]])=0,"",IF(AND(I$7=$E13,$F13=1),중요_시점_표식,"")),"")</f>
        <v/>
      </c>
      <c r="J13" s="26" t="str">
        <f ca="1">IFERROR(IF(LEN(중요_시점[[#This Row],[요일]])=0,"",IF(AND(J$7=$E13,$F13=1),중요_시점_표식,"")),"")</f>
        <v/>
      </c>
      <c r="K13" s="26" t="str">
        <f ca="1">IFERROR(IF(LEN(중요_시점[[#This Row],[요일]])=0,"",IF(AND(K$7=$E13,$F13=1),중요_시점_표식,"")),"")</f>
        <v/>
      </c>
      <c r="L13" s="26" t="str">
        <f ca="1">IFERROR(IF(LEN(중요_시점[[#This Row],[요일]])=0,"",IF(AND(L$7=$E13,$F13=1),중요_시점_표식,"")),"")</f>
        <v/>
      </c>
      <c r="M13" s="26" t="str">
        <f ca="1">IFERROR(IF(LEN(중요_시점[[#This Row],[요일]])=0,"",IF(AND(M$7=$E13,$F13=1),중요_시점_표식,"")),"")</f>
        <v/>
      </c>
      <c r="N13" s="26" t="str">
        <f ca="1">IFERROR(IF(LEN(중요_시점[[#This Row],[요일]])=0,"",IF(AND(N$7=$E13,$F13=1),중요_시점_표식,"")),"")</f>
        <v/>
      </c>
      <c r="O13" s="26" t="str">
        <f ca="1">IFERROR(IF(LEN(중요_시점[[#This Row],[요일]])=0,"",IF(AND(O$7=$E13,$F13=1),중요_시점_표식,"")),"")</f>
        <v/>
      </c>
      <c r="P13" s="26" t="str">
        <f ca="1">IFERROR(IF(LEN(중요_시점[[#This Row],[요일]])=0,"",IF(AND(P$7=$E13,$F13=1),중요_시점_표식,"")),"")</f>
        <v/>
      </c>
      <c r="Q13" s="26" t="str">
        <f ca="1">IFERROR(IF(LEN(중요_시점[[#This Row],[요일]])=0,"",IF(AND(Q$7=$E13,$F13=1),중요_시점_표식,"")),"")</f>
        <v/>
      </c>
      <c r="R13" s="26" t="str">
        <f ca="1">IFERROR(IF(LEN(중요_시점[[#This Row],[요일]])=0,"",IF(AND(R$7=$E13,$F13=1),중요_시점_표식,"")),"")</f>
        <v/>
      </c>
      <c r="S13" s="26" t="str">
        <f ca="1">IFERROR(IF(LEN(중요_시점[[#This Row],[요일]])=0,"",IF(AND(S$7=$E13,$F13=1),중요_시점_표식,"")),"")</f>
        <v/>
      </c>
      <c r="T13" s="26" t="str">
        <f ca="1">IFERROR(IF(LEN(중요_시점[[#This Row],[요일]])=0,"",IF(AND(T$7=$E13,$F13=1),중요_시점_표식,"")),"")</f>
        <v/>
      </c>
      <c r="U13" s="26" t="str">
        <f ca="1">IFERROR(IF(LEN(중요_시점[[#This Row],[요일]])=0,"",IF(AND(U$7=$E13,$F13=1),중요_시점_표식,"")),"")</f>
        <v/>
      </c>
      <c r="V13" s="26" t="str">
        <f ca="1">IFERROR(IF(LEN(중요_시점[[#This Row],[요일]])=0,"",IF(AND(V$7=$E13,$F13=1),중요_시점_표식,"")),"")</f>
        <v/>
      </c>
      <c r="W13" s="26" t="str">
        <f ca="1">IFERROR(IF(LEN(중요_시점[[#This Row],[요일]])=0,"",IF(AND(W$7=$E13,$F13=1),중요_시점_표식,"")),"")</f>
        <v/>
      </c>
      <c r="X13" s="26" t="str">
        <f ca="1">IFERROR(IF(LEN(중요_시점[[#This Row],[요일]])=0,"",IF(AND(X$7=$E13,$F13=1),중요_시점_표식,"")),"")</f>
        <v/>
      </c>
      <c r="Y13" s="26" t="str">
        <f ca="1">IFERROR(IF(LEN(중요_시점[[#This Row],[요일]])=0,"",IF(AND(Y$7=$E13,$F13=1),중요_시점_표식,"")),"")</f>
        <v/>
      </c>
      <c r="Z13" s="26" t="str">
        <f ca="1">IFERROR(IF(LEN(중요_시점[[#This Row],[요일]])=0,"",IF(AND(Z$7=$E13,$F13=1),중요_시점_표식,"")),"")</f>
        <v/>
      </c>
      <c r="AA13" s="26" t="str">
        <f ca="1">IFERROR(IF(LEN(중요_시점[[#This Row],[요일]])=0,"",IF(AND(AA$7=$E13,$F13=1),중요_시점_표식,"")),"")</f>
        <v/>
      </c>
      <c r="AB13" s="26" t="str">
        <f ca="1">IFERROR(IF(LEN(중요_시점[[#This Row],[요일]])=0,"",IF(AND(AB$7=$E13,$F13=1),중요_시점_표식,"")),"")</f>
        <v/>
      </c>
      <c r="AC13" s="26" t="str">
        <f ca="1">IFERROR(IF(LEN(중요_시점[[#This Row],[요일]])=0,"",IF(AND(AC$7=$E13,$F13=1),중요_시점_표식,"")),"")</f>
        <v/>
      </c>
      <c r="AD13" s="26" t="str">
        <f ca="1">IFERROR(IF(LEN(중요_시점[[#This Row],[요일]])=0,"",IF(AND(AD$7=$E13,$F13=1),중요_시점_표식,"")),"")</f>
        <v/>
      </c>
      <c r="AE13" s="26" t="str">
        <f ca="1">IFERROR(IF(LEN(중요_시점[[#This Row],[요일]])=0,"",IF(AND(AE$7=$E13,$F13=1),중요_시점_표식,"")),"")</f>
        <v/>
      </c>
      <c r="AF13" s="26" t="str">
        <f ca="1">IFERROR(IF(LEN(중요_시점[[#This Row],[요일]])=0,"",IF(AND(AF$7=$E13,$F13=1),중요_시점_표식,"")),"")</f>
        <v/>
      </c>
      <c r="AG13" s="26" t="str">
        <f ca="1">IFERROR(IF(LEN(중요_시점[[#This Row],[요일]])=0,"",IF(AND(AG$7=$E13,$F13=1),중요_시점_표식,"")),"")</f>
        <v/>
      </c>
      <c r="AH13" s="26" t="str">
        <f ca="1">IFERROR(IF(LEN(중요_시점[[#This Row],[요일]])=0,"",IF(AND(AH$7=$E13,$F13=1),중요_시점_표식,"")),"")</f>
        <v/>
      </c>
      <c r="AI13" s="26" t="str">
        <f ca="1">IFERROR(IF(LEN(중요_시점[[#This Row],[요일]])=0,"",IF(AND(AI$7=$E13,$F13=1),중요_시점_표식,"")),"")</f>
        <v/>
      </c>
      <c r="AJ13" s="26" t="str">
        <f ca="1">IFERROR(IF(LEN(중요_시점[[#This Row],[요일]])=0,"",IF(AND(AJ$7=$E13,$F13=1),중요_시점_표식,"")),"")</f>
        <v/>
      </c>
      <c r="AK13" s="26" t="str">
        <f ca="1">IFERROR(IF(LEN(중요_시점[[#This Row],[요일]])=0,"",IF(AND(AK$7=$E13,$F13=1),중요_시점_표식,"")),"")</f>
        <v/>
      </c>
      <c r="AL13" s="26" t="str">
        <f ca="1">IFERROR(IF(LEN(중요_시점[[#This Row],[요일]])=0,"",IF(AND(AL$7=$E13,$F13=1),중요_시점_표식,"")),"")</f>
        <v/>
      </c>
      <c r="AM13" s="26" t="str">
        <f ca="1">IFERROR(IF(LEN(중요_시점[[#This Row],[요일]])=0,"",IF(AND(AM$7=$E13,$F13=1),중요_시점_표식,"")),"")</f>
        <v/>
      </c>
      <c r="AN13" s="26" t="str">
        <f ca="1">IFERROR(IF(LEN(중요_시점[[#This Row],[요일]])=0,"",IF(AND(AN$7=$E13,$F13=1),중요_시점_표식,"")),"")</f>
        <v/>
      </c>
      <c r="AO13" s="26" t="str">
        <f ca="1">IFERROR(IF(LEN(중요_시점[[#This Row],[요일]])=0,"",IF(AND(AO$7=$E13,$F13=1),중요_시점_표식,"")),"")</f>
        <v/>
      </c>
      <c r="AP13" s="26" t="str">
        <f ca="1">IFERROR(IF(LEN(중요_시점[[#This Row],[요일]])=0,"",IF(AND(AP$7=$E13,$F13=1),중요_시점_표식,"")),"")</f>
        <v/>
      </c>
      <c r="AQ13" s="26" t="str">
        <f ca="1">IFERROR(IF(LEN(중요_시점[[#This Row],[요일]])=0,"",IF(AND(AQ$7=$E13,$F13=1),중요_시점_표식,"")),"")</f>
        <v/>
      </c>
      <c r="AR13" s="26" t="str">
        <f ca="1">IFERROR(IF(LEN(중요_시점[[#This Row],[요일]])=0,"",IF(AND(AR$7=$E13,$F13=1),중요_시점_표식,"")),"")</f>
        <v/>
      </c>
      <c r="AS13" s="26" t="str">
        <f ca="1">IFERROR(IF(LEN(중요_시점[[#This Row],[요일]])=0,"",IF(AND(AS$7=$E13,$F13=1),중요_시점_표식,"")),"")</f>
        <v/>
      </c>
      <c r="AT13" s="26" t="str">
        <f ca="1">IFERROR(IF(LEN(중요_시점[[#This Row],[요일]])=0,"",IF(AND(AT$7=$E13,$F13=1),중요_시점_표식,"")),"")</f>
        <v/>
      </c>
      <c r="AU13" s="26" t="str">
        <f ca="1">IFERROR(IF(LEN(중요_시점[[#This Row],[요일]])=0,"",IF(AND(AU$7=$E13,$F13=1),중요_시점_표식,"")),"")</f>
        <v/>
      </c>
      <c r="AV13" s="26" t="str">
        <f ca="1">IFERROR(IF(LEN(중요_시점[[#This Row],[요일]])=0,"",IF(AND(AV$7=$E13,$F13=1),중요_시점_표식,"")),"")</f>
        <v/>
      </c>
      <c r="AW13" s="26" t="str">
        <f ca="1">IFERROR(IF(LEN(중요_시점[[#This Row],[요일]])=0,"",IF(AND(AW$7=$E13,$F13=1),중요_시점_표식,"")),"")</f>
        <v/>
      </c>
      <c r="AX13" s="26" t="str">
        <f ca="1">IFERROR(IF(LEN(중요_시점[[#This Row],[요일]])=0,"",IF(AND(AX$7=$E13,$F13=1),중요_시점_표식,"")),"")</f>
        <v/>
      </c>
      <c r="AY13" s="26" t="str">
        <f ca="1">IFERROR(IF(LEN(중요_시점[[#This Row],[요일]])=0,"",IF(AND(AY$7=$E13,$F13=1),중요_시점_표식,"")),"")</f>
        <v/>
      </c>
      <c r="AZ13" s="26" t="str">
        <f ca="1">IFERROR(IF(LEN(중요_시점[[#This Row],[요일]])=0,"",IF(AND(AZ$7=$E13,$F13=1),중요_시점_표식,"")),"")</f>
        <v/>
      </c>
      <c r="BA13" s="26" t="str">
        <f ca="1">IFERROR(IF(LEN(중요_시점[[#This Row],[요일]])=0,"",IF(AND(BA$7=$E13,$F13=1),중요_시점_표식,"")),"")</f>
        <v/>
      </c>
      <c r="BB13" s="26" t="str">
        <f ca="1">IFERROR(IF(LEN(중요_시점[[#This Row],[요일]])=0,"",IF(AND(BB$7=$E13,$F13=1),중요_시점_표식,"")),"")</f>
        <v/>
      </c>
      <c r="BC13" s="26" t="str">
        <f ca="1">IFERROR(IF(LEN(중요_시점[[#This Row],[요일]])=0,"",IF(AND(BC$7=$E13,$F13=1),중요_시점_표식,"")),"")</f>
        <v/>
      </c>
      <c r="BD13" s="26" t="str">
        <f ca="1">IFERROR(IF(LEN(중요_시점[[#This Row],[요일]])=0,"",IF(AND(BD$7=$E13,$F13=1),중요_시점_표식,"")),"")</f>
        <v/>
      </c>
      <c r="BE13" s="26" t="str">
        <f ca="1">IFERROR(IF(LEN(중요_시점[[#This Row],[요일]])=0,"",IF(AND(BE$7=$E13,$F13=1),중요_시점_표식,"")),"")</f>
        <v/>
      </c>
      <c r="BF13" s="26" t="str">
        <f ca="1">IFERROR(IF(LEN(중요_시점[[#This Row],[요일]])=0,"",IF(AND(BF$7=$E13,$F13=1),중요_시점_표식,"")),"")</f>
        <v/>
      </c>
      <c r="BG13" s="26" t="str">
        <f ca="1">IFERROR(IF(LEN(중요_시점[[#This Row],[요일]])=0,"",IF(AND(BG$7=$E13,$F13=1),중요_시점_표식,"")),"")</f>
        <v/>
      </c>
      <c r="BH13" s="26" t="str">
        <f ca="1">IFERROR(IF(LEN(중요_시점[[#This Row],[요일]])=0,"",IF(AND(BH$7=$E13,$F13=1),중요_시점_표식,"")),"")</f>
        <v/>
      </c>
      <c r="BI13" s="26" t="str">
        <f ca="1">IFERROR(IF(LEN(중요_시점[[#This Row],[요일]])=0,"",IF(AND(BI$7=$E13,$F13=1),중요_시점_표식,"")),"")</f>
        <v/>
      </c>
      <c r="BJ13" s="26" t="str">
        <f ca="1">IFERROR(IF(LEN(중요_시점[[#This Row],[요일]])=0,"",IF(AND(BJ$7=$E13,$F13=1),중요_시점_표식,"")),"")</f>
        <v/>
      </c>
      <c r="BK13" s="26" t="str">
        <f ca="1">IFERROR(IF(LEN(중요_시점[[#This Row],[요일]])=0,"",IF(AND(BK$7=$E13,$F13=1),중요_시점_표식,"")),"")</f>
        <v/>
      </c>
    </row>
    <row r="14" spans="1:63" s="1" customFormat="1" ht="30" customHeight="1" outlineLevel="1">
      <c r="A14" s="5"/>
      <c r="B14" s="49" t="s">
        <v>13</v>
      </c>
      <c r="C14" s="13"/>
      <c r="D14" s="43"/>
      <c r="E14" s="42">
        <f ca="1">TODAY()+20</f>
        <v>44608</v>
      </c>
      <c r="F14" s="12">
        <v>1</v>
      </c>
      <c r="G14" s="27"/>
      <c r="H14" s="26" t="str">
        <f ca="1">IFERROR(IF(LEN(중요_시점[[#This Row],[요일]])=0,"",IF(AND(H$7=$E14,$F14=1),중요_시점_표식,"")),"")</f>
        <v/>
      </c>
      <c r="I14" s="26" t="str">
        <f ca="1">IFERROR(IF(LEN(중요_시점[[#This Row],[요일]])=0,"",IF(AND(I$7=$E14,$F14=1),중요_시점_표식,"")),"")</f>
        <v/>
      </c>
      <c r="J14" s="26" t="str">
        <f ca="1">IFERROR(IF(LEN(중요_시점[[#This Row],[요일]])=0,"",IF(AND(J$7=$E14,$F14=1),중요_시점_표식,"")),"")</f>
        <v/>
      </c>
      <c r="K14" s="26" t="str">
        <f ca="1">IFERROR(IF(LEN(중요_시점[[#This Row],[요일]])=0,"",IF(AND(K$7=$E14,$F14=1),중요_시점_표식,"")),"")</f>
        <v/>
      </c>
      <c r="L14" s="26" t="str">
        <f ca="1">IFERROR(IF(LEN(중요_시점[[#This Row],[요일]])=0,"",IF(AND(L$7=$E14,$F14=1),중요_시점_표식,"")),"")</f>
        <v/>
      </c>
      <c r="M14" s="26" t="str">
        <f ca="1">IFERROR(IF(LEN(중요_시점[[#This Row],[요일]])=0,"",IF(AND(M$7=$E14,$F14=1),중요_시점_표식,"")),"")</f>
        <v/>
      </c>
      <c r="N14" s="26" t="str">
        <f ca="1">IFERROR(IF(LEN(중요_시점[[#This Row],[요일]])=0,"",IF(AND(N$7=$E14,$F14=1),중요_시점_표식,"")),"")</f>
        <v/>
      </c>
      <c r="O14" s="26">
        <f ca="1">IFERROR(IF(LEN(중요_시점[[#This Row],[요일]])=0,"",IF(AND(O$7=$E14,$F14=1),중요_시점_표식,"")),"")</f>
        <v>1</v>
      </c>
      <c r="P14" s="26" t="str">
        <f ca="1">IFERROR(IF(LEN(중요_시점[[#This Row],[요일]])=0,"",IF(AND(P$7=$E14,$F14=1),중요_시점_표식,"")),"")</f>
        <v/>
      </c>
      <c r="Q14" s="26" t="str">
        <f ca="1">IFERROR(IF(LEN(중요_시점[[#This Row],[요일]])=0,"",IF(AND(Q$7=$E14,$F14=1),중요_시점_표식,"")),"")</f>
        <v/>
      </c>
      <c r="R14" s="26" t="str">
        <f ca="1">IFERROR(IF(LEN(중요_시점[[#This Row],[요일]])=0,"",IF(AND(R$7=$E14,$F14=1),중요_시점_표식,"")),"")</f>
        <v/>
      </c>
      <c r="S14" s="26" t="str">
        <f ca="1">IFERROR(IF(LEN(중요_시점[[#This Row],[요일]])=0,"",IF(AND(S$7=$E14,$F14=1),중요_시점_표식,"")),"")</f>
        <v/>
      </c>
      <c r="T14" s="26" t="str">
        <f ca="1">IFERROR(IF(LEN(중요_시점[[#This Row],[요일]])=0,"",IF(AND(T$7=$E14,$F14=1),중요_시점_표식,"")),"")</f>
        <v/>
      </c>
      <c r="U14" s="26" t="str">
        <f ca="1">IFERROR(IF(LEN(중요_시점[[#This Row],[요일]])=0,"",IF(AND(U$7=$E14,$F14=1),중요_시점_표식,"")),"")</f>
        <v/>
      </c>
      <c r="V14" s="26" t="str">
        <f ca="1">IFERROR(IF(LEN(중요_시점[[#This Row],[요일]])=0,"",IF(AND(V$7=$E14,$F14=1),중요_시점_표식,"")),"")</f>
        <v/>
      </c>
      <c r="W14" s="26" t="str">
        <f ca="1">IFERROR(IF(LEN(중요_시점[[#This Row],[요일]])=0,"",IF(AND(W$7=$E14,$F14=1),중요_시점_표식,"")),"")</f>
        <v/>
      </c>
      <c r="X14" s="26" t="str">
        <f ca="1">IFERROR(IF(LEN(중요_시점[[#This Row],[요일]])=0,"",IF(AND(X$7=$E14,$F14=1),중요_시점_표식,"")),"")</f>
        <v/>
      </c>
      <c r="Y14" s="26" t="str">
        <f ca="1">IFERROR(IF(LEN(중요_시점[[#This Row],[요일]])=0,"",IF(AND(Y$7=$E14,$F14=1),중요_시점_표식,"")),"")</f>
        <v/>
      </c>
      <c r="Z14" s="26" t="str">
        <f ca="1">IFERROR(IF(LEN(중요_시점[[#This Row],[요일]])=0,"",IF(AND(Z$7=$E14,$F14=1),중요_시점_표식,"")),"")</f>
        <v/>
      </c>
      <c r="AA14" s="26" t="str">
        <f ca="1">IFERROR(IF(LEN(중요_시점[[#This Row],[요일]])=0,"",IF(AND(AA$7=$E14,$F14=1),중요_시점_표식,"")),"")</f>
        <v/>
      </c>
      <c r="AB14" s="26" t="str">
        <f ca="1">IFERROR(IF(LEN(중요_시점[[#This Row],[요일]])=0,"",IF(AND(AB$7=$E14,$F14=1),중요_시점_표식,"")),"")</f>
        <v/>
      </c>
      <c r="AC14" s="26" t="str">
        <f ca="1">IFERROR(IF(LEN(중요_시점[[#This Row],[요일]])=0,"",IF(AND(AC$7=$E14,$F14=1),중요_시점_표식,"")),"")</f>
        <v/>
      </c>
      <c r="AD14" s="26" t="str">
        <f ca="1">IFERROR(IF(LEN(중요_시점[[#This Row],[요일]])=0,"",IF(AND(AD$7=$E14,$F14=1),중요_시점_표식,"")),"")</f>
        <v/>
      </c>
      <c r="AE14" s="26" t="str">
        <f ca="1">IFERROR(IF(LEN(중요_시점[[#This Row],[요일]])=0,"",IF(AND(AE$7=$E14,$F14=1),중요_시점_표식,"")),"")</f>
        <v/>
      </c>
      <c r="AF14" s="26" t="str">
        <f ca="1">IFERROR(IF(LEN(중요_시점[[#This Row],[요일]])=0,"",IF(AND(AF$7=$E14,$F14=1),중요_시점_표식,"")),"")</f>
        <v/>
      </c>
      <c r="AG14" s="26" t="str">
        <f ca="1">IFERROR(IF(LEN(중요_시점[[#This Row],[요일]])=0,"",IF(AND(AG$7=$E14,$F14=1),중요_시점_표식,"")),"")</f>
        <v/>
      </c>
      <c r="AH14" s="26" t="str">
        <f ca="1">IFERROR(IF(LEN(중요_시점[[#This Row],[요일]])=0,"",IF(AND(AH$7=$E14,$F14=1),중요_시점_표식,"")),"")</f>
        <v/>
      </c>
      <c r="AI14" s="26" t="str">
        <f ca="1">IFERROR(IF(LEN(중요_시점[[#This Row],[요일]])=0,"",IF(AND(AI$7=$E14,$F14=1),중요_시점_표식,"")),"")</f>
        <v/>
      </c>
      <c r="AJ14" s="26" t="str">
        <f ca="1">IFERROR(IF(LEN(중요_시점[[#This Row],[요일]])=0,"",IF(AND(AJ$7=$E14,$F14=1),중요_시점_표식,"")),"")</f>
        <v/>
      </c>
      <c r="AK14" s="26" t="str">
        <f ca="1">IFERROR(IF(LEN(중요_시점[[#This Row],[요일]])=0,"",IF(AND(AK$7=$E14,$F14=1),중요_시점_표식,"")),"")</f>
        <v/>
      </c>
      <c r="AL14" s="26" t="str">
        <f ca="1">IFERROR(IF(LEN(중요_시점[[#This Row],[요일]])=0,"",IF(AND(AL$7=$E14,$F14=1),중요_시점_표식,"")),"")</f>
        <v/>
      </c>
      <c r="AM14" s="26" t="str">
        <f ca="1">IFERROR(IF(LEN(중요_시점[[#This Row],[요일]])=0,"",IF(AND(AM$7=$E14,$F14=1),중요_시점_표식,"")),"")</f>
        <v/>
      </c>
      <c r="AN14" s="26" t="str">
        <f ca="1">IFERROR(IF(LEN(중요_시점[[#This Row],[요일]])=0,"",IF(AND(AN$7=$E14,$F14=1),중요_시점_표식,"")),"")</f>
        <v/>
      </c>
      <c r="AO14" s="26" t="str">
        <f ca="1">IFERROR(IF(LEN(중요_시점[[#This Row],[요일]])=0,"",IF(AND(AO$7=$E14,$F14=1),중요_시점_표식,"")),"")</f>
        <v/>
      </c>
      <c r="AP14" s="26" t="str">
        <f ca="1">IFERROR(IF(LEN(중요_시점[[#This Row],[요일]])=0,"",IF(AND(AP$7=$E14,$F14=1),중요_시점_표식,"")),"")</f>
        <v/>
      </c>
      <c r="AQ14" s="26" t="str">
        <f ca="1">IFERROR(IF(LEN(중요_시점[[#This Row],[요일]])=0,"",IF(AND(AQ$7=$E14,$F14=1),중요_시점_표식,"")),"")</f>
        <v/>
      </c>
      <c r="AR14" s="26" t="str">
        <f ca="1">IFERROR(IF(LEN(중요_시점[[#This Row],[요일]])=0,"",IF(AND(AR$7=$E14,$F14=1),중요_시점_표식,"")),"")</f>
        <v/>
      </c>
      <c r="AS14" s="26" t="str">
        <f ca="1">IFERROR(IF(LEN(중요_시점[[#This Row],[요일]])=0,"",IF(AND(AS$7=$E14,$F14=1),중요_시점_표식,"")),"")</f>
        <v/>
      </c>
      <c r="AT14" s="26" t="str">
        <f ca="1">IFERROR(IF(LEN(중요_시점[[#This Row],[요일]])=0,"",IF(AND(AT$7=$E14,$F14=1),중요_시점_표식,"")),"")</f>
        <v/>
      </c>
      <c r="AU14" s="26" t="str">
        <f ca="1">IFERROR(IF(LEN(중요_시점[[#This Row],[요일]])=0,"",IF(AND(AU$7=$E14,$F14=1),중요_시점_표식,"")),"")</f>
        <v/>
      </c>
      <c r="AV14" s="26" t="str">
        <f ca="1">IFERROR(IF(LEN(중요_시점[[#This Row],[요일]])=0,"",IF(AND(AV$7=$E14,$F14=1),중요_시점_표식,"")),"")</f>
        <v/>
      </c>
      <c r="AW14" s="26" t="str">
        <f ca="1">IFERROR(IF(LEN(중요_시점[[#This Row],[요일]])=0,"",IF(AND(AW$7=$E14,$F14=1),중요_시점_표식,"")),"")</f>
        <v/>
      </c>
      <c r="AX14" s="26" t="str">
        <f ca="1">IFERROR(IF(LEN(중요_시점[[#This Row],[요일]])=0,"",IF(AND(AX$7=$E14,$F14=1),중요_시점_표식,"")),"")</f>
        <v/>
      </c>
      <c r="AY14" s="26" t="str">
        <f ca="1">IFERROR(IF(LEN(중요_시점[[#This Row],[요일]])=0,"",IF(AND(AY$7=$E14,$F14=1),중요_시점_표식,"")),"")</f>
        <v/>
      </c>
      <c r="AZ14" s="26" t="str">
        <f ca="1">IFERROR(IF(LEN(중요_시점[[#This Row],[요일]])=0,"",IF(AND(AZ$7=$E14,$F14=1),중요_시점_표식,"")),"")</f>
        <v/>
      </c>
      <c r="BA14" s="26" t="str">
        <f ca="1">IFERROR(IF(LEN(중요_시점[[#This Row],[요일]])=0,"",IF(AND(BA$7=$E14,$F14=1),중요_시점_표식,"")),"")</f>
        <v/>
      </c>
      <c r="BB14" s="26" t="str">
        <f ca="1">IFERROR(IF(LEN(중요_시점[[#This Row],[요일]])=0,"",IF(AND(BB$7=$E14,$F14=1),중요_시점_표식,"")),"")</f>
        <v/>
      </c>
      <c r="BC14" s="26" t="str">
        <f ca="1">IFERROR(IF(LEN(중요_시점[[#This Row],[요일]])=0,"",IF(AND(BC$7=$E14,$F14=1),중요_시점_표식,"")),"")</f>
        <v/>
      </c>
      <c r="BD14" s="26" t="str">
        <f ca="1">IFERROR(IF(LEN(중요_시점[[#This Row],[요일]])=0,"",IF(AND(BD$7=$E14,$F14=1),중요_시점_표식,"")),"")</f>
        <v/>
      </c>
      <c r="BE14" s="26" t="str">
        <f ca="1">IFERROR(IF(LEN(중요_시점[[#This Row],[요일]])=0,"",IF(AND(BE$7=$E14,$F14=1),중요_시점_표식,"")),"")</f>
        <v/>
      </c>
      <c r="BF14" s="26" t="str">
        <f ca="1">IFERROR(IF(LEN(중요_시점[[#This Row],[요일]])=0,"",IF(AND(BF$7=$E14,$F14=1),중요_시점_표식,"")),"")</f>
        <v/>
      </c>
      <c r="BG14" s="26" t="str">
        <f ca="1">IFERROR(IF(LEN(중요_시점[[#This Row],[요일]])=0,"",IF(AND(BG$7=$E14,$F14=1),중요_시점_표식,"")),"")</f>
        <v/>
      </c>
      <c r="BH14" s="26" t="str">
        <f ca="1">IFERROR(IF(LEN(중요_시점[[#This Row],[요일]])=0,"",IF(AND(BH$7=$E14,$F14=1),중요_시점_표식,"")),"")</f>
        <v/>
      </c>
      <c r="BI14" s="26" t="str">
        <f ca="1">IFERROR(IF(LEN(중요_시점[[#This Row],[요일]])=0,"",IF(AND(BI$7=$E14,$F14=1),중요_시점_표식,"")),"")</f>
        <v/>
      </c>
      <c r="BJ14" s="26" t="str">
        <f ca="1">IFERROR(IF(LEN(중요_시점[[#This Row],[요일]])=0,"",IF(AND(BJ$7=$E14,$F14=1),중요_시점_표식,"")),"")</f>
        <v/>
      </c>
      <c r="BK14" s="26" t="str">
        <f ca="1">IFERROR(IF(LEN(중요_시점[[#This Row],[요일]])=0,"",IF(AND(BK$7=$E14,$F14=1),중요_시점_표식,"")),"")</f>
        <v/>
      </c>
    </row>
    <row r="15" spans="1:63" s="1" customFormat="1" ht="30" customHeight="1" outlineLevel="1">
      <c r="A15" s="5"/>
      <c r="B15" s="49" t="s">
        <v>14</v>
      </c>
      <c r="C15" s="13"/>
      <c r="D15" s="43">
        <v>0.1</v>
      </c>
      <c r="E15" s="42">
        <f ca="1">TODAY()+6</f>
        <v>44594</v>
      </c>
      <c r="F15" s="12">
        <v>6</v>
      </c>
      <c r="G15" s="27"/>
      <c r="H15" s="26" t="str">
        <f ca="1">IFERROR(IF(LEN(중요_시점[[#This Row],[요일]])=0,"",IF(AND(H$7=$E15,$F15=1),중요_시점_표식,"")),"")</f>
        <v/>
      </c>
      <c r="I15" s="26" t="str">
        <f ca="1">IFERROR(IF(LEN(중요_시점[[#This Row],[요일]])=0,"",IF(AND(I$7=$E15,$F15=1),중요_시점_표식,"")),"")</f>
        <v/>
      </c>
      <c r="J15" s="26" t="str">
        <f ca="1">IFERROR(IF(LEN(중요_시점[[#This Row],[요일]])=0,"",IF(AND(J$7=$E15,$F15=1),중요_시점_표식,"")),"")</f>
        <v/>
      </c>
      <c r="K15" s="26" t="str">
        <f ca="1">IFERROR(IF(LEN(중요_시점[[#This Row],[요일]])=0,"",IF(AND(K$7=$E15,$F15=1),중요_시점_표식,"")),"")</f>
        <v/>
      </c>
      <c r="L15" s="26" t="str">
        <f ca="1">IFERROR(IF(LEN(중요_시점[[#This Row],[요일]])=0,"",IF(AND(L$7=$E15,$F15=1),중요_시점_표식,"")),"")</f>
        <v/>
      </c>
      <c r="M15" s="26" t="str">
        <f ca="1">IFERROR(IF(LEN(중요_시점[[#This Row],[요일]])=0,"",IF(AND(M$7=$E15,$F15=1),중요_시점_표식,"")),"")</f>
        <v/>
      </c>
      <c r="N15" s="26" t="str">
        <f ca="1">IFERROR(IF(LEN(중요_시점[[#This Row],[요일]])=0,"",IF(AND(N$7=$E15,$F15=1),중요_시점_표식,"")),"")</f>
        <v/>
      </c>
      <c r="O15" s="26" t="str">
        <f ca="1">IFERROR(IF(LEN(중요_시점[[#This Row],[요일]])=0,"",IF(AND(O$7=$E15,$F15=1),중요_시점_표식,"")),"")</f>
        <v/>
      </c>
      <c r="P15" s="26" t="str">
        <f ca="1">IFERROR(IF(LEN(중요_시점[[#This Row],[요일]])=0,"",IF(AND(P$7=$E15,$F15=1),중요_시점_표식,"")),"")</f>
        <v/>
      </c>
      <c r="Q15" s="26" t="str">
        <f ca="1">IFERROR(IF(LEN(중요_시점[[#This Row],[요일]])=0,"",IF(AND(Q$7=$E15,$F15=1),중요_시점_표식,"")),"")</f>
        <v/>
      </c>
      <c r="R15" s="26" t="str">
        <f ca="1">IFERROR(IF(LEN(중요_시점[[#This Row],[요일]])=0,"",IF(AND(R$7=$E15,$F15=1),중요_시점_표식,"")),"")</f>
        <v/>
      </c>
      <c r="S15" s="26" t="str">
        <f ca="1">IFERROR(IF(LEN(중요_시점[[#This Row],[요일]])=0,"",IF(AND(S$7=$E15,$F15=1),중요_시점_표식,"")),"")</f>
        <v/>
      </c>
      <c r="T15" s="26" t="str">
        <f ca="1">IFERROR(IF(LEN(중요_시점[[#This Row],[요일]])=0,"",IF(AND(T$7=$E15,$F15=1),중요_시점_표식,"")),"")</f>
        <v/>
      </c>
      <c r="U15" s="26" t="str">
        <f ca="1">IFERROR(IF(LEN(중요_시점[[#This Row],[요일]])=0,"",IF(AND(U$7=$E15,$F15=1),중요_시점_표식,"")),"")</f>
        <v/>
      </c>
      <c r="V15" s="26" t="str">
        <f ca="1">IFERROR(IF(LEN(중요_시점[[#This Row],[요일]])=0,"",IF(AND(V$7=$E15,$F15=1),중요_시점_표식,"")),"")</f>
        <v/>
      </c>
      <c r="W15" s="26" t="str">
        <f ca="1">IFERROR(IF(LEN(중요_시점[[#This Row],[요일]])=0,"",IF(AND(W$7=$E15,$F15=1),중요_시점_표식,"")),"")</f>
        <v/>
      </c>
      <c r="X15" s="26" t="str">
        <f ca="1">IFERROR(IF(LEN(중요_시점[[#This Row],[요일]])=0,"",IF(AND(X$7=$E15,$F15=1),중요_시점_표식,"")),"")</f>
        <v/>
      </c>
      <c r="Y15" s="26" t="str">
        <f ca="1">IFERROR(IF(LEN(중요_시점[[#This Row],[요일]])=0,"",IF(AND(Y$7=$E15,$F15=1),중요_시점_표식,"")),"")</f>
        <v/>
      </c>
      <c r="Z15" s="26" t="str">
        <f ca="1">IFERROR(IF(LEN(중요_시점[[#This Row],[요일]])=0,"",IF(AND(Z$7=$E15,$F15=1),중요_시점_표식,"")),"")</f>
        <v/>
      </c>
      <c r="AA15" s="26" t="str">
        <f ca="1">IFERROR(IF(LEN(중요_시점[[#This Row],[요일]])=0,"",IF(AND(AA$7=$E15,$F15=1),중요_시점_표식,"")),"")</f>
        <v/>
      </c>
      <c r="AB15" s="26" t="str">
        <f ca="1">IFERROR(IF(LEN(중요_시점[[#This Row],[요일]])=0,"",IF(AND(AB$7=$E15,$F15=1),중요_시점_표식,"")),"")</f>
        <v/>
      </c>
      <c r="AC15" s="26" t="str">
        <f ca="1">IFERROR(IF(LEN(중요_시점[[#This Row],[요일]])=0,"",IF(AND(AC$7=$E15,$F15=1),중요_시점_표식,"")),"")</f>
        <v/>
      </c>
      <c r="AD15" s="26" t="str">
        <f ca="1">IFERROR(IF(LEN(중요_시점[[#This Row],[요일]])=0,"",IF(AND(AD$7=$E15,$F15=1),중요_시점_표식,"")),"")</f>
        <v/>
      </c>
      <c r="AE15" s="26" t="str">
        <f ca="1">IFERROR(IF(LEN(중요_시점[[#This Row],[요일]])=0,"",IF(AND(AE$7=$E15,$F15=1),중요_시점_표식,"")),"")</f>
        <v/>
      </c>
      <c r="AF15" s="26" t="str">
        <f ca="1">IFERROR(IF(LEN(중요_시점[[#This Row],[요일]])=0,"",IF(AND(AF$7=$E15,$F15=1),중요_시점_표식,"")),"")</f>
        <v/>
      </c>
      <c r="AG15" s="26" t="str">
        <f ca="1">IFERROR(IF(LEN(중요_시점[[#This Row],[요일]])=0,"",IF(AND(AG$7=$E15,$F15=1),중요_시점_표식,"")),"")</f>
        <v/>
      </c>
      <c r="AH15" s="26" t="str">
        <f ca="1">IFERROR(IF(LEN(중요_시점[[#This Row],[요일]])=0,"",IF(AND(AH$7=$E15,$F15=1),중요_시점_표식,"")),"")</f>
        <v/>
      </c>
      <c r="AI15" s="26" t="str">
        <f ca="1">IFERROR(IF(LEN(중요_시점[[#This Row],[요일]])=0,"",IF(AND(AI$7=$E15,$F15=1),중요_시점_표식,"")),"")</f>
        <v/>
      </c>
      <c r="AJ15" s="26" t="str">
        <f ca="1">IFERROR(IF(LEN(중요_시점[[#This Row],[요일]])=0,"",IF(AND(AJ$7=$E15,$F15=1),중요_시점_표식,"")),"")</f>
        <v/>
      </c>
      <c r="AK15" s="26" t="str">
        <f ca="1">IFERROR(IF(LEN(중요_시점[[#This Row],[요일]])=0,"",IF(AND(AK$7=$E15,$F15=1),중요_시점_표식,"")),"")</f>
        <v/>
      </c>
      <c r="AL15" s="26" t="str">
        <f ca="1">IFERROR(IF(LEN(중요_시점[[#This Row],[요일]])=0,"",IF(AND(AL$7=$E15,$F15=1),중요_시점_표식,"")),"")</f>
        <v/>
      </c>
      <c r="AM15" s="26" t="str">
        <f ca="1">IFERROR(IF(LEN(중요_시점[[#This Row],[요일]])=0,"",IF(AND(AM$7=$E15,$F15=1),중요_시점_표식,"")),"")</f>
        <v/>
      </c>
      <c r="AN15" s="26" t="str">
        <f ca="1">IFERROR(IF(LEN(중요_시점[[#This Row],[요일]])=0,"",IF(AND(AN$7=$E15,$F15=1),중요_시점_표식,"")),"")</f>
        <v/>
      </c>
      <c r="AO15" s="26" t="str">
        <f ca="1">IFERROR(IF(LEN(중요_시점[[#This Row],[요일]])=0,"",IF(AND(AO$7=$E15,$F15=1),중요_시점_표식,"")),"")</f>
        <v/>
      </c>
      <c r="AP15" s="26" t="str">
        <f ca="1">IFERROR(IF(LEN(중요_시점[[#This Row],[요일]])=0,"",IF(AND(AP$7=$E15,$F15=1),중요_시점_표식,"")),"")</f>
        <v/>
      </c>
      <c r="AQ15" s="26" t="str">
        <f ca="1">IFERROR(IF(LEN(중요_시점[[#This Row],[요일]])=0,"",IF(AND(AQ$7=$E15,$F15=1),중요_시점_표식,"")),"")</f>
        <v/>
      </c>
      <c r="AR15" s="26" t="str">
        <f ca="1">IFERROR(IF(LEN(중요_시점[[#This Row],[요일]])=0,"",IF(AND(AR$7=$E15,$F15=1),중요_시점_표식,"")),"")</f>
        <v/>
      </c>
      <c r="AS15" s="26" t="str">
        <f ca="1">IFERROR(IF(LEN(중요_시점[[#This Row],[요일]])=0,"",IF(AND(AS$7=$E15,$F15=1),중요_시점_표식,"")),"")</f>
        <v/>
      </c>
      <c r="AT15" s="26" t="str">
        <f ca="1">IFERROR(IF(LEN(중요_시점[[#This Row],[요일]])=0,"",IF(AND(AT$7=$E15,$F15=1),중요_시점_표식,"")),"")</f>
        <v/>
      </c>
      <c r="AU15" s="26" t="str">
        <f ca="1">IFERROR(IF(LEN(중요_시점[[#This Row],[요일]])=0,"",IF(AND(AU$7=$E15,$F15=1),중요_시점_표식,"")),"")</f>
        <v/>
      </c>
      <c r="AV15" s="26" t="str">
        <f ca="1">IFERROR(IF(LEN(중요_시점[[#This Row],[요일]])=0,"",IF(AND(AV$7=$E15,$F15=1),중요_시점_표식,"")),"")</f>
        <v/>
      </c>
      <c r="AW15" s="26" t="str">
        <f ca="1">IFERROR(IF(LEN(중요_시점[[#This Row],[요일]])=0,"",IF(AND(AW$7=$E15,$F15=1),중요_시점_표식,"")),"")</f>
        <v/>
      </c>
      <c r="AX15" s="26" t="str">
        <f ca="1">IFERROR(IF(LEN(중요_시점[[#This Row],[요일]])=0,"",IF(AND(AX$7=$E15,$F15=1),중요_시점_표식,"")),"")</f>
        <v/>
      </c>
      <c r="AY15" s="26" t="str">
        <f ca="1">IFERROR(IF(LEN(중요_시점[[#This Row],[요일]])=0,"",IF(AND(AY$7=$E15,$F15=1),중요_시점_표식,"")),"")</f>
        <v/>
      </c>
      <c r="AZ15" s="26" t="str">
        <f ca="1">IFERROR(IF(LEN(중요_시점[[#This Row],[요일]])=0,"",IF(AND(AZ$7=$E15,$F15=1),중요_시점_표식,"")),"")</f>
        <v/>
      </c>
      <c r="BA15" s="26" t="str">
        <f ca="1">IFERROR(IF(LEN(중요_시점[[#This Row],[요일]])=0,"",IF(AND(BA$7=$E15,$F15=1),중요_시점_표식,"")),"")</f>
        <v/>
      </c>
      <c r="BB15" s="26" t="str">
        <f ca="1">IFERROR(IF(LEN(중요_시점[[#This Row],[요일]])=0,"",IF(AND(BB$7=$E15,$F15=1),중요_시점_표식,"")),"")</f>
        <v/>
      </c>
      <c r="BC15" s="26" t="str">
        <f ca="1">IFERROR(IF(LEN(중요_시점[[#This Row],[요일]])=0,"",IF(AND(BC$7=$E15,$F15=1),중요_시점_표식,"")),"")</f>
        <v/>
      </c>
      <c r="BD15" s="26" t="str">
        <f ca="1">IFERROR(IF(LEN(중요_시점[[#This Row],[요일]])=0,"",IF(AND(BD$7=$E15,$F15=1),중요_시점_표식,"")),"")</f>
        <v/>
      </c>
      <c r="BE15" s="26" t="str">
        <f ca="1">IFERROR(IF(LEN(중요_시점[[#This Row],[요일]])=0,"",IF(AND(BE$7=$E15,$F15=1),중요_시점_표식,"")),"")</f>
        <v/>
      </c>
      <c r="BF15" s="26" t="str">
        <f ca="1">IFERROR(IF(LEN(중요_시점[[#This Row],[요일]])=0,"",IF(AND(BF$7=$E15,$F15=1),중요_시점_표식,"")),"")</f>
        <v/>
      </c>
      <c r="BG15" s="26" t="str">
        <f ca="1">IFERROR(IF(LEN(중요_시점[[#This Row],[요일]])=0,"",IF(AND(BG$7=$E15,$F15=1),중요_시점_표식,"")),"")</f>
        <v/>
      </c>
      <c r="BH15" s="26" t="str">
        <f ca="1">IFERROR(IF(LEN(중요_시점[[#This Row],[요일]])=0,"",IF(AND(BH$7=$E15,$F15=1),중요_시점_표식,"")),"")</f>
        <v/>
      </c>
      <c r="BI15" s="26" t="str">
        <f ca="1">IFERROR(IF(LEN(중요_시점[[#This Row],[요일]])=0,"",IF(AND(BI$7=$E15,$F15=1),중요_시점_표식,"")),"")</f>
        <v/>
      </c>
      <c r="BJ15" s="26" t="str">
        <f ca="1">IFERROR(IF(LEN(중요_시점[[#This Row],[요일]])=0,"",IF(AND(BJ$7=$E15,$F15=1),중요_시점_표식,"")),"")</f>
        <v/>
      </c>
      <c r="BK15" s="26" t="str">
        <f ca="1">IFERROR(IF(LEN(중요_시점[[#This Row],[요일]])=0,"",IF(AND(BK$7=$E15,$F15=1),중요_시점_표식,"")),"")</f>
        <v/>
      </c>
    </row>
    <row r="16" spans="1:63" s="1" customFormat="1" ht="30" customHeight="1">
      <c r="A16" s="6"/>
      <c r="B16" s="40" t="s">
        <v>15</v>
      </c>
      <c r="C16" s="13"/>
      <c r="D16" s="43"/>
      <c r="E16" s="42"/>
      <c r="F16" s="12"/>
      <c r="G16" s="27"/>
      <c r="H16" s="26" t="str">
        <f>IFERROR(IF(LEN(중요_시점[[#This Row],[요일]])=0,"",IF(AND(H$7=$E16,$F16=1),중요_시점_표식,"")),"")</f>
        <v/>
      </c>
      <c r="I16" s="26" t="str">
        <f>IFERROR(IF(LEN(중요_시점[[#This Row],[요일]])=0,"",IF(AND(I$7=$E16,$F16=1),중요_시점_표식,"")),"")</f>
        <v/>
      </c>
      <c r="J16" s="26" t="str">
        <f>IFERROR(IF(LEN(중요_시점[[#This Row],[요일]])=0,"",IF(AND(J$7=$E16,$F16=1),중요_시점_표식,"")),"")</f>
        <v/>
      </c>
      <c r="K16" s="26" t="str">
        <f>IFERROR(IF(LEN(중요_시점[[#This Row],[요일]])=0,"",IF(AND(K$7=$E16,$F16=1),중요_시점_표식,"")),"")</f>
        <v/>
      </c>
      <c r="L16" s="26" t="str">
        <f>IFERROR(IF(LEN(중요_시점[[#This Row],[요일]])=0,"",IF(AND(L$7=$E16,$F16=1),중요_시점_표식,"")),"")</f>
        <v/>
      </c>
      <c r="M16" s="26" t="str">
        <f>IFERROR(IF(LEN(중요_시점[[#This Row],[요일]])=0,"",IF(AND(M$7=$E16,$F16=1),중요_시점_표식,"")),"")</f>
        <v/>
      </c>
      <c r="N16" s="26" t="str">
        <f>IFERROR(IF(LEN(중요_시점[[#This Row],[요일]])=0,"",IF(AND(N$7=$E16,$F16=1),중요_시점_표식,"")),"")</f>
        <v/>
      </c>
      <c r="O16" s="26" t="str">
        <f>IFERROR(IF(LEN(중요_시점[[#This Row],[요일]])=0,"",IF(AND(O$7=$E16,$F16=1),중요_시점_표식,"")),"")</f>
        <v/>
      </c>
      <c r="P16" s="26" t="str">
        <f>IFERROR(IF(LEN(중요_시점[[#This Row],[요일]])=0,"",IF(AND(P$7=$E16,$F16=1),중요_시점_표식,"")),"")</f>
        <v/>
      </c>
      <c r="Q16" s="26" t="str">
        <f>IFERROR(IF(LEN(중요_시점[[#This Row],[요일]])=0,"",IF(AND(Q$7=$E16,$F16=1),중요_시점_표식,"")),"")</f>
        <v/>
      </c>
      <c r="R16" s="26" t="str">
        <f>IFERROR(IF(LEN(중요_시점[[#This Row],[요일]])=0,"",IF(AND(R$7=$E16,$F16=1),중요_시점_표식,"")),"")</f>
        <v/>
      </c>
      <c r="S16" s="26" t="str">
        <f>IFERROR(IF(LEN(중요_시점[[#This Row],[요일]])=0,"",IF(AND(S$7=$E16,$F16=1),중요_시점_표식,"")),"")</f>
        <v/>
      </c>
      <c r="T16" s="26" t="str">
        <f>IFERROR(IF(LEN(중요_시점[[#This Row],[요일]])=0,"",IF(AND(T$7=$E16,$F16=1),중요_시점_표식,"")),"")</f>
        <v/>
      </c>
      <c r="U16" s="26" t="str">
        <f>IFERROR(IF(LEN(중요_시점[[#This Row],[요일]])=0,"",IF(AND(U$7=$E16,$F16=1),중요_시점_표식,"")),"")</f>
        <v/>
      </c>
      <c r="V16" s="26" t="str">
        <f>IFERROR(IF(LEN(중요_시점[[#This Row],[요일]])=0,"",IF(AND(V$7=$E16,$F16=1),중요_시점_표식,"")),"")</f>
        <v/>
      </c>
      <c r="W16" s="26" t="str">
        <f>IFERROR(IF(LEN(중요_시점[[#This Row],[요일]])=0,"",IF(AND(W$7=$E16,$F16=1),중요_시점_표식,"")),"")</f>
        <v/>
      </c>
      <c r="X16" s="26" t="str">
        <f>IFERROR(IF(LEN(중요_시점[[#This Row],[요일]])=0,"",IF(AND(X$7=$E16,$F16=1),중요_시점_표식,"")),"")</f>
        <v/>
      </c>
      <c r="Y16" s="26" t="str">
        <f>IFERROR(IF(LEN(중요_시점[[#This Row],[요일]])=0,"",IF(AND(Y$7=$E16,$F16=1),중요_시점_표식,"")),"")</f>
        <v/>
      </c>
      <c r="Z16" s="26" t="str">
        <f>IFERROR(IF(LEN(중요_시점[[#This Row],[요일]])=0,"",IF(AND(Z$7=$E16,$F16=1),중요_시점_표식,"")),"")</f>
        <v/>
      </c>
      <c r="AA16" s="26" t="str">
        <f>IFERROR(IF(LEN(중요_시점[[#This Row],[요일]])=0,"",IF(AND(AA$7=$E16,$F16=1),중요_시점_표식,"")),"")</f>
        <v/>
      </c>
      <c r="AB16" s="26" t="str">
        <f>IFERROR(IF(LEN(중요_시점[[#This Row],[요일]])=0,"",IF(AND(AB$7=$E16,$F16=1),중요_시점_표식,"")),"")</f>
        <v/>
      </c>
      <c r="AC16" s="26" t="str">
        <f>IFERROR(IF(LEN(중요_시점[[#This Row],[요일]])=0,"",IF(AND(AC$7=$E16,$F16=1),중요_시점_표식,"")),"")</f>
        <v/>
      </c>
      <c r="AD16" s="26" t="str">
        <f>IFERROR(IF(LEN(중요_시점[[#This Row],[요일]])=0,"",IF(AND(AD$7=$E16,$F16=1),중요_시점_표식,"")),"")</f>
        <v/>
      </c>
      <c r="AE16" s="26" t="str">
        <f>IFERROR(IF(LEN(중요_시점[[#This Row],[요일]])=0,"",IF(AND(AE$7=$E16,$F16=1),중요_시점_표식,"")),"")</f>
        <v/>
      </c>
      <c r="AF16" s="26" t="str">
        <f>IFERROR(IF(LEN(중요_시점[[#This Row],[요일]])=0,"",IF(AND(AF$7=$E16,$F16=1),중요_시점_표식,"")),"")</f>
        <v/>
      </c>
      <c r="AG16" s="26" t="str">
        <f>IFERROR(IF(LEN(중요_시점[[#This Row],[요일]])=0,"",IF(AND(AG$7=$E16,$F16=1),중요_시점_표식,"")),"")</f>
        <v/>
      </c>
      <c r="AH16" s="26" t="str">
        <f>IFERROR(IF(LEN(중요_시점[[#This Row],[요일]])=0,"",IF(AND(AH$7=$E16,$F16=1),중요_시점_표식,"")),"")</f>
        <v/>
      </c>
      <c r="AI16" s="26" t="str">
        <f>IFERROR(IF(LEN(중요_시점[[#This Row],[요일]])=0,"",IF(AND(AI$7=$E16,$F16=1),중요_시점_표식,"")),"")</f>
        <v/>
      </c>
      <c r="AJ16" s="26" t="str">
        <f>IFERROR(IF(LEN(중요_시점[[#This Row],[요일]])=0,"",IF(AND(AJ$7=$E16,$F16=1),중요_시점_표식,"")),"")</f>
        <v/>
      </c>
      <c r="AK16" s="26" t="str">
        <f>IFERROR(IF(LEN(중요_시점[[#This Row],[요일]])=0,"",IF(AND(AK$7=$E16,$F16=1),중요_시점_표식,"")),"")</f>
        <v/>
      </c>
      <c r="AL16" s="26" t="str">
        <f>IFERROR(IF(LEN(중요_시점[[#This Row],[요일]])=0,"",IF(AND(AL$7=$E16,$F16=1),중요_시점_표식,"")),"")</f>
        <v/>
      </c>
      <c r="AM16" s="26" t="str">
        <f>IFERROR(IF(LEN(중요_시점[[#This Row],[요일]])=0,"",IF(AND(AM$7=$E16,$F16=1),중요_시점_표식,"")),"")</f>
        <v/>
      </c>
      <c r="AN16" s="26" t="str">
        <f>IFERROR(IF(LEN(중요_시점[[#This Row],[요일]])=0,"",IF(AND(AN$7=$E16,$F16=1),중요_시점_표식,"")),"")</f>
        <v/>
      </c>
      <c r="AO16" s="26" t="str">
        <f>IFERROR(IF(LEN(중요_시점[[#This Row],[요일]])=0,"",IF(AND(AO$7=$E16,$F16=1),중요_시점_표식,"")),"")</f>
        <v/>
      </c>
      <c r="AP16" s="26" t="str">
        <f>IFERROR(IF(LEN(중요_시점[[#This Row],[요일]])=0,"",IF(AND(AP$7=$E16,$F16=1),중요_시점_표식,"")),"")</f>
        <v/>
      </c>
      <c r="AQ16" s="26" t="str">
        <f>IFERROR(IF(LEN(중요_시점[[#This Row],[요일]])=0,"",IF(AND(AQ$7=$E16,$F16=1),중요_시점_표식,"")),"")</f>
        <v/>
      </c>
      <c r="AR16" s="26" t="str">
        <f>IFERROR(IF(LEN(중요_시점[[#This Row],[요일]])=0,"",IF(AND(AR$7=$E16,$F16=1),중요_시점_표식,"")),"")</f>
        <v/>
      </c>
      <c r="AS16" s="26" t="str">
        <f>IFERROR(IF(LEN(중요_시점[[#This Row],[요일]])=0,"",IF(AND(AS$7=$E16,$F16=1),중요_시점_표식,"")),"")</f>
        <v/>
      </c>
      <c r="AT16" s="26" t="str">
        <f>IFERROR(IF(LEN(중요_시점[[#This Row],[요일]])=0,"",IF(AND(AT$7=$E16,$F16=1),중요_시점_표식,"")),"")</f>
        <v/>
      </c>
      <c r="AU16" s="26" t="str">
        <f>IFERROR(IF(LEN(중요_시점[[#This Row],[요일]])=0,"",IF(AND(AU$7=$E16,$F16=1),중요_시점_표식,"")),"")</f>
        <v/>
      </c>
      <c r="AV16" s="26" t="str">
        <f>IFERROR(IF(LEN(중요_시점[[#This Row],[요일]])=0,"",IF(AND(AV$7=$E16,$F16=1),중요_시점_표식,"")),"")</f>
        <v/>
      </c>
      <c r="AW16" s="26" t="str">
        <f>IFERROR(IF(LEN(중요_시점[[#This Row],[요일]])=0,"",IF(AND(AW$7=$E16,$F16=1),중요_시점_표식,"")),"")</f>
        <v/>
      </c>
      <c r="AX16" s="26" t="str">
        <f>IFERROR(IF(LEN(중요_시점[[#This Row],[요일]])=0,"",IF(AND(AX$7=$E16,$F16=1),중요_시점_표식,"")),"")</f>
        <v/>
      </c>
      <c r="AY16" s="26" t="str">
        <f>IFERROR(IF(LEN(중요_시점[[#This Row],[요일]])=0,"",IF(AND(AY$7=$E16,$F16=1),중요_시점_표식,"")),"")</f>
        <v/>
      </c>
      <c r="AZ16" s="26" t="str">
        <f>IFERROR(IF(LEN(중요_시점[[#This Row],[요일]])=0,"",IF(AND(AZ$7=$E16,$F16=1),중요_시점_표식,"")),"")</f>
        <v/>
      </c>
      <c r="BA16" s="26" t="str">
        <f>IFERROR(IF(LEN(중요_시점[[#This Row],[요일]])=0,"",IF(AND(BA$7=$E16,$F16=1),중요_시점_표식,"")),"")</f>
        <v/>
      </c>
      <c r="BB16" s="26" t="str">
        <f>IFERROR(IF(LEN(중요_시점[[#This Row],[요일]])=0,"",IF(AND(BB$7=$E16,$F16=1),중요_시점_표식,"")),"")</f>
        <v/>
      </c>
      <c r="BC16" s="26" t="str">
        <f>IFERROR(IF(LEN(중요_시점[[#This Row],[요일]])=0,"",IF(AND(BC$7=$E16,$F16=1),중요_시점_표식,"")),"")</f>
        <v/>
      </c>
      <c r="BD16" s="26" t="str">
        <f>IFERROR(IF(LEN(중요_시점[[#This Row],[요일]])=0,"",IF(AND(BD$7=$E16,$F16=1),중요_시점_표식,"")),"")</f>
        <v/>
      </c>
      <c r="BE16" s="26" t="str">
        <f>IFERROR(IF(LEN(중요_시점[[#This Row],[요일]])=0,"",IF(AND(BE$7=$E16,$F16=1),중요_시점_표식,"")),"")</f>
        <v/>
      </c>
      <c r="BF16" s="26" t="str">
        <f>IFERROR(IF(LEN(중요_시점[[#This Row],[요일]])=0,"",IF(AND(BF$7=$E16,$F16=1),중요_시점_표식,"")),"")</f>
        <v/>
      </c>
      <c r="BG16" s="26" t="str">
        <f>IFERROR(IF(LEN(중요_시점[[#This Row],[요일]])=0,"",IF(AND(BG$7=$E16,$F16=1),중요_시점_표식,"")),"")</f>
        <v/>
      </c>
      <c r="BH16" s="26" t="str">
        <f>IFERROR(IF(LEN(중요_시점[[#This Row],[요일]])=0,"",IF(AND(BH$7=$E16,$F16=1),중요_시점_표식,"")),"")</f>
        <v/>
      </c>
      <c r="BI16" s="26" t="str">
        <f>IFERROR(IF(LEN(중요_시점[[#This Row],[요일]])=0,"",IF(AND(BI$7=$E16,$F16=1),중요_시점_표식,"")),"")</f>
        <v/>
      </c>
      <c r="BJ16" s="26" t="str">
        <f>IFERROR(IF(LEN(중요_시점[[#This Row],[요일]])=0,"",IF(AND(BJ$7=$E16,$F16=1),중요_시점_표식,"")),"")</f>
        <v/>
      </c>
      <c r="BK16" s="26" t="str">
        <f>IFERROR(IF(LEN(중요_시점[[#This Row],[요일]])=0,"",IF(AND(BK$7=$E16,$F16=1),중요_시점_표식,"")),"")</f>
        <v/>
      </c>
    </row>
    <row r="17" spans="1:63" s="1" customFormat="1" ht="30" customHeight="1" outlineLevel="1">
      <c r="A17" s="6"/>
      <c r="B17" s="49" t="s">
        <v>10</v>
      </c>
      <c r="C17" s="13"/>
      <c r="D17" s="43">
        <v>0.6</v>
      </c>
      <c r="E17" s="42">
        <f ca="1">TODAY()+6</f>
        <v>44594</v>
      </c>
      <c r="F17" s="12">
        <v>13</v>
      </c>
      <c r="G17" s="27"/>
      <c r="H17" s="26" t="str">
        <f ca="1">IFERROR(IF(LEN(중요_시점[[#This Row],[요일]])=0,"",IF(AND(H$7=$E17,$F17=1),중요_시점_표식,"")),"")</f>
        <v/>
      </c>
      <c r="I17" s="26" t="str">
        <f ca="1">IFERROR(IF(LEN(중요_시점[[#This Row],[요일]])=0,"",IF(AND(I$7=$E17,$F17=1),중요_시점_표식,"")),"")</f>
        <v/>
      </c>
      <c r="J17" s="26" t="str">
        <f ca="1">IFERROR(IF(LEN(중요_시점[[#This Row],[요일]])=0,"",IF(AND(J$7=$E17,$F17=1),중요_시점_표식,"")),"")</f>
        <v/>
      </c>
      <c r="K17" s="26" t="str">
        <f ca="1">IFERROR(IF(LEN(중요_시점[[#This Row],[요일]])=0,"",IF(AND(K$7=$E17,$F17=1),중요_시점_표식,"")),"")</f>
        <v/>
      </c>
      <c r="L17" s="26" t="str">
        <f ca="1">IFERROR(IF(LEN(중요_시점[[#This Row],[요일]])=0,"",IF(AND(L$7=$E17,$F17=1),중요_시점_표식,"")),"")</f>
        <v/>
      </c>
      <c r="M17" s="26" t="str">
        <f ca="1">IFERROR(IF(LEN(중요_시점[[#This Row],[요일]])=0,"",IF(AND(M$7=$E17,$F17=1),중요_시점_표식,"")),"")</f>
        <v/>
      </c>
      <c r="N17" s="26" t="str">
        <f ca="1">IFERROR(IF(LEN(중요_시점[[#This Row],[요일]])=0,"",IF(AND(N$7=$E17,$F17=1),중요_시점_표식,"")),"")</f>
        <v/>
      </c>
      <c r="O17" s="26" t="str">
        <f ca="1">IFERROR(IF(LEN(중요_시점[[#This Row],[요일]])=0,"",IF(AND(O$7=$E17,$F17=1),중요_시점_표식,"")),"")</f>
        <v/>
      </c>
      <c r="P17" s="26" t="str">
        <f ca="1">IFERROR(IF(LEN(중요_시점[[#This Row],[요일]])=0,"",IF(AND(P$7=$E17,$F17=1),중요_시점_표식,"")),"")</f>
        <v/>
      </c>
      <c r="Q17" s="26" t="str">
        <f ca="1">IFERROR(IF(LEN(중요_시점[[#This Row],[요일]])=0,"",IF(AND(Q$7=$E17,$F17=1),중요_시점_표식,"")),"")</f>
        <v/>
      </c>
      <c r="R17" s="26" t="str">
        <f ca="1">IFERROR(IF(LEN(중요_시점[[#This Row],[요일]])=0,"",IF(AND(R$7=$E17,$F17=1),중요_시점_표식,"")),"")</f>
        <v/>
      </c>
      <c r="S17" s="26" t="str">
        <f ca="1">IFERROR(IF(LEN(중요_시점[[#This Row],[요일]])=0,"",IF(AND(S$7=$E17,$F17=1),중요_시점_표식,"")),"")</f>
        <v/>
      </c>
      <c r="T17" s="26" t="str">
        <f ca="1">IFERROR(IF(LEN(중요_시점[[#This Row],[요일]])=0,"",IF(AND(T$7=$E17,$F17=1),중요_시점_표식,"")),"")</f>
        <v/>
      </c>
      <c r="U17" s="26" t="str">
        <f ca="1">IFERROR(IF(LEN(중요_시점[[#This Row],[요일]])=0,"",IF(AND(U$7=$E17,$F17=1),중요_시점_표식,"")),"")</f>
        <v/>
      </c>
      <c r="V17" s="26" t="str">
        <f ca="1">IFERROR(IF(LEN(중요_시점[[#This Row],[요일]])=0,"",IF(AND(V$7=$E17,$F17=1),중요_시점_표식,"")),"")</f>
        <v/>
      </c>
      <c r="W17" s="26" t="str">
        <f ca="1">IFERROR(IF(LEN(중요_시점[[#This Row],[요일]])=0,"",IF(AND(W$7=$E17,$F17=1),중요_시점_표식,"")),"")</f>
        <v/>
      </c>
      <c r="X17" s="26" t="str">
        <f ca="1">IFERROR(IF(LEN(중요_시점[[#This Row],[요일]])=0,"",IF(AND(X$7=$E17,$F17=1),중요_시점_표식,"")),"")</f>
        <v/>
      </c>
      <c r="Y17" s="26" t="str">
        <f ca="1">IFERROR(IF(LEN(중요_시점[[#This Row],[요일]])=0,"",IF(AND(Y$7=$E17,$F17=1),중요_시점_표식,"")),"")</f>
        <v/>
      </c>
      <c r="Z17" s="26" t="str">
        <f ca="1">IFERROR(IF(LEN(중요_시점[[#This Row],[요일]])=0,"",IF(AND(Z$7=$E17,$F17=1),중요_시점_표식,"")),"")</f>
        <v/>
      </c>
      <c r="AA17" s="26" t="str">
        <f ca="1">IFERROR(IF(LEN(중요_시점[[#This Row],[요일]])=0,"",IF(AND(AA$7=$E17,$F17=1),중요_시점_표식,"")),"")</f>
        <v/>
      </c>
      <c r="AB17" s="26" t="str">
        <f ca="1">IFERROR(IF(LEN(중요_시점[[#This Row],[요일]])=0,"",IF(AND(AB$7=$E17,$F17=1),중요_시점_표식,"")),"")</f>
        <v/>
      </c>
      <c r="AC17" s="26" t="str">
        <f ca="1">IFERROR(IF(LEN(중요_시점[[#This Row],[요일]])=0,"",IF(AND(AC$7=$E17,$F17=1),중요_시점_표식,"")),"")</f>
        <v/>
      </c>
      <c r="AD17" s="26" t="str">
        <f ca="1">IFERROR(IF(LEN(중요_시점[[#This Row],[요일]])=0,"",IF(AND(AD$7=$E17,$F17=1),중요_시점_표식,"")),"")</f>
        <v/>
      </c>
      <c r="AE17" s="26" t="str">
        <f ca="1">IFERROR(IF(LEN(중요_시점[[#This Row],[요일]])=0,"",IF(AND(AE$7=$E17,$F17=1),중요_시점_표식,"")),"")</f>
        <v/>
      </c>
      <c r="AF17" s="26" t="str">
        <f ca="1">IFERROR(IF(LEN(중요_시점[[#This Row],[요일]])=0,"",IF(AND(AF$7=$E17,$F17=1),중요_시점_표식,"")),"")</f>
        <v/>
      </c>
      <c r="AG17" s="26" t="str">
        <f ca="1">IFERROR(IF(LEN(중요_시점[[#This Row],[요일]])=0,"",IF(AND(AG$7=$E17,$F17=1),중요_시점_표식,"")),"")</f>
        <v/>
      </c>
      <c r="AH17" s="26" t="str">
        <f ca="1">IFERROR(IF(LEN(중요_시점[[#This Row],[요일]])=0,"",IF(AND(AH$7=$E17,$F17=1),중요_시점_표식,"")),"")</f>
        <v/>
      </c>
      <c r="AI17" s="26" t="str">
        <f ca="1">IFERROR(IF(LEN(중요_시점[[#This Row],[요일]])=0,"",IF(AND(AI$7=$E17,$F17=1),중요_시점_표식,"")),"")</f>
        <v/>
      </c>
      <c r="AJ17" s="26" t="str">
        <f ca="1">IFERROR(IF(LEN(중요_시점[[#This Row],[요일]])=0,"",IF(AND(AJ$7=$E17,$F17=1),중요_시점_표식,"")),"")</f>
        <v/>
      </c>
      <c r="AK17" s="26" t="str">
        <f ca="1">IFERROR(IF(LEN(중요_시점[[#This Row],[요일]])=0,"",IF(AND(AK$7=$E17,$F17=1),중요_시점_표식,"")),"")</f>
        <v/>
      </c>
      <c r="AL17" s="26" t="str">
        <f ca="1">IFERROR(IF(LEN(중요_시점[[#This Row],[요일]])=0,"",IF(AND(AL$7=$E17,$F17=1),중요_시점_표식,"")),"")</f>
        <v/>
      </c>
      <c r="AM17" s="26" t="str">
        <f ca="1">IFERROR(IF(LEN(중요_시점[[#This Row],[요일]])=0,"",IF(AND(AM$7=$E17,$F17=1),중요_시점_표식,"")),"")</f>
        <v/>
      </c>
      <c r="AN17" s="26" t="str">
        <f ca="1">IFERROR(IF(LEN(중요_시점[[#This Row],[요일]])=0,"",IF(AND(AN$7=$E17,$F17=1),중요_시점_표식,"")),"")</f>
        <v/>
      </c>
      <c r="AO17" s="26" t="str">
        <f ca="1">IFERROR(IF(LEN(중요_시점[[#This Row],[요일]])=0,"",IF(AND(AO$7=$E17,$F17=1),중요_시점_표식,"")),"")</f>
        <v/>
      </c>
      <c r="AP17" s="26" t="str">
        <f ca="1">IFERROR(IF(LEN(중요_시점[[#This Row],[요일]])=0,"",IF(AND(AP$7=$E17,$F17=1),중요_시점_표식,"")),"")</f>
        <v/>
      </c>
      <c r="AQ17" s="26" t="str">
        <f ca="1">IFERROR(IF(LEN(중요_시점[[#This Row],[요일]])=0,"",IF(AND(AQ$7=$E17,$F17=1),중요_시점_표식,"")),"")</f>
        <v/>
      </c>
      <c r="AR17" s="26" t="str">
        <f ca="1">IFERROR(IF(LEN(중요_시점[[#This Row],[요일]])=0,"",IF(AND(AR$7=$E17,$F17=1),중요_시점_표식,"")),"")</f>
        <v/>
      </c>
      <c r="AS17" s="26" t="str">
        <f ca="1">IFERROR(IF(LEN(중요_시점[[#This Row],[요일]])=0,"",IF(AND(AS$7=$E17,$F17=1),중요_시점_표식,"")),"")</f>
        <v/>
      </c>
      <c r="AT17" s="26" t="str">
        <f ca="1">IFERROR(IF(LEN(중요_시점[[#This Row],[요일]])=0,"",IF(AND(AT$7=$E17,$F17=1),중요_시점_표식,"")),"")</f>
        <v/>
      </c>
      <c r="AU17" s="26" t="str">
        <f ca="1">IFERROR(IF(LEN(중요_시점[[#This Row],[요일]])=0,"",IF(AND(AU$7=$E17,$F17=1),중요_시점_표식,"")),"")</f>
        <v/>
      </c>
      <c r="AV17" s="26" t="str">
        <f ca="1">IFERROR(IF(LEN(중요_시점[[#This Row],[요일]])=0,"",IF(AND(AV$7=$E17,$F17=1),중요_시점_표식,"")),"")</f>
        <v/>
      </c>
      <c r="AW17" s="26" t="str">
        <f ca="1">IFERROR(IF(LEN(중요_시점[[#This Row],[요일]])=0,"",IF(AND(AW$7=$E17,$F17=1),중요_시점_표식,"")),"")</f>
        <v/>
      </c>
      <c r="AX17" s="26" t="str">
        <f ca="1">IFERROR(IF(LEN(중요_시점[[#This Row],[요일]])=0,"",IF(AND(AX$7=$E17,$F17=1),중요_시점_표식,"")),"")</f>
        <v/>
      </c>
      <c r="AY17" s="26" t="str">
        <f ca="1">IFERROR(IF(LEN(중요_시점[[#This Row],[요일]])=0,"",IF(AND(AY$7=$E17,$F17=1),중요_시점_표식,"")),"")</f>
        <v/>
      </c>
      <c r="AZ17" s="26" t="str">
        <f ca="1">IFERROR(IF(LEN(중요_시점[[#This Row],[요일]])=0,"",IF(AND(AZ$7=$E17,$F17=1),중요_시점_표식,"")),"")</f>
        <v/>
      </c>
      <c r="BA17" s="26" t="str">
        <f ca="1">IFERROR(IF(LEN(중요_시점[[#This Row],[요일]])=0,"",IF(AND(BA$7=$E17,$F17=1),중요_시점_표식,"")),"")</f>
        <v/>
      </c>
      <c r="BB17" s="26" t="str">
        <f ca="1">IFERROR(IF(LEN(중요_시점[[#This Row],[요일]])=0,"",IF(AND(BB$7=$E17,$F17=1),중요_시점_표식,"")),"")</f>
        <v/>
      </c>
      <c r="BC17" s="26" t="str">
        <f ca="1">IFERROR(IF(LEN(중요_시점[[#This Row],[요일]])=0,"",IF(AND(BC$7=$E17,$F17=1),중요_시점_표식,"")),"")</f>
        <v/>
      </c>
      <c r="BD17" s="26" t="str">
        <f ca="1">IFERROR(IF(LEN(중요_시점[[#This Row],[요일]])=0,"",IF(AND(BD$7=$E17,$F17=1),중요_시점_표식,"")),"")</f>
        <v/>
      </c>
      <c r="BE17" s="26" t="str">
        <f ca="1">IFERROR(IF(LEN(중요_시점[[#This Row],[요일]])=0,"",IF(AND(BE$7=$E17,$F17=1),중요_시점_표식,"")),"")</f>
        <v/>
      </c>
      <c r="BF17" s="26" t="str">
        <f ca="1">IFERROR(IF(LEN(중요_시점[[#This Row],[요일]])=0,"",IF(AND(BF$7=$E17,$F17=1),중요_시점_표식,"")),"")</f>
        <v/>
      </c>
      <c r="BG17" s="26" t="str">
        <f ca="1">IFERROR(IF(LEN(중요_시점[[#This Row],[요일]])=0,"",IF(AND(BG$7=$E17,$F17=1),중요_시점_표식,"")),"")</f>
        <v/>
      </c>
      <c r="BH17" s="26" t="str">
        <f ca="1">IFERROR(IF(LEN(중요_시점[[#This Row],[요일]])=0,"",IF(AND(BH$7=$E17,$F17=1),중요_시점_표식,"")),"")</f>
        <v/>
      </c>
      <c r="BI17" s="26" t="str">
        <f ca="1">IFERROR(IF(LEN(중요_시점[[#This Row],[요일]])=0,"",IF(AND(BI$7=$E17,$F17=1),중요_시점_표식,"")),"")</f>
        <v/>
      </c>
      <c r="BJ17" s="26" t="str">
        <f ca="1">IFERROR(IF(LEN(중요_시점[[#This Row],[요일]])=0,"",IF(AND(BJ$7=$E17,$F17=1),중요_시점_표식,"")),"")</f>
        <v/>
      </c>
      <c r="BK17" s="26" t="str">
        <f ca="1">IFERROR(IF(LEN(중요_시점[[#This Row],[요일]])=0,"",IF(AND(BK$7=$E17,$F17=1),중요_시점_표식,"")),"")</f>
        <v/>
      </c>
    </row>
    <row r="18" spans="1:63" s="1" customFormat="1" ht="30" customHeight="1" outlineLevel="1">
      <c r="A18" s="5"/>
      <c r="B18" s="49" t="s">
        <v>11</v>
      </c>
      <c r="C18" s="13"/>
      <c r="D18" s="43">
        <v>0.5</v>
      </c>
      <c r="E18" s="42">
        <f ca="1">TODAY()+7</f>
        <v>44595</v>
      </c>
      <c r="F18" s="12">
        <v>9</v>
      </c>
      <c r="G18" s="27"/>
      <c r="H18" s="26" t="str">
        <f ca="1">IFERROR(IF(LEN(중요_시점[[#This Row],[요일]])=0,"",IF(AND(H$7=$E18,$F18=1),중요_시점_표식,"")),"")</f>
        <v/>
      </c>
      <c r="I18" s="26" t="str">
        <f ca="1">IFERROR(IF(LEN(중요_시점[[#This Row],[요일]])=0,"",IF(AND(I$7=$E18,$F18=1),중요_시점_표식,"")),"")</f>
        <v/>
      </c>
      <c r="J18" s="26" t="str">
        <f ca="1">IFERROR(IF(LEN(중요_시점[[#This Row],[요일]])=0,"",IF(AND(J$7=$E18,$F18=1),중요_시점_표식,"")),"")</f>
        <v/>
      </c>
      <c r="K18" s="26" t="str">
        <f ca="1">IFERROR(IF(LEN(중요_시점[[#This Row],[요일]])=0,"",IF(AND(K$7=$E18,$F18=1),중요_시점_표식,"")),"")</f>
        <v/>
      </c>
      <c r="L18" s="26" t="str">
        <f ca="1">IFERROR(IF(LEN(중요_시점[[#This Row],[요일]])=0,"",IF(AND(L$7=$E18,$F18=1),중요_시점_표식,"")),"")</f>
        <v/>
      </c>
      <c r="M18" s="26" t="str">
        <f ca="1">IFERROR(IF(LEN(중요_시점[[#This Row],[요일]])=0,"",IF(AND(M$7=$E18,$F18=1),중요_시점_표식,"")),"")</f>
        <v/>
      </c>
      <c r="N18" s="26" t="str">
        <f ca="1">IFERROR(IF(LEN(중요_시점[[#This Row],[요일]])=0,"",IF(AND(N$7=$E18,$F18=1),중요_시점_표식,"")),"")</f>
        <v/>
      </c>
      <c r="O18" s="26" t="str">
        <f ca="1">IFERROR(IF(LEN(중요_시점[[#This Row],[요일]])=0,"",IF(AND(O$7=$E18,$F18=1),중요_시점_표식,"")),"")</f>
        <v/>
      </c>
      <c r="P18" s="26" t="str">
        <f ca="1">IFERROR(IF(LEN(중요_시점[[#This Row],[요일]])=0,"",IF(AND(P$7=$E18,$F18=1),중요_시점_표식,"")),"")</f>
        <v/>
      </c>
      <c r="Q18" s="26" t="str">
        <f ca="1">IFERROR(IF(LEN(중요_시점[[#This Row],[요일]])=0,"",IF(AND(Q$7=$E18,$F18=1),중요_시점_표식,"")),"")</f>
        <v/>
      </c>
      <c r="R18" s="26" t="str">
        <f ca="1">IFERROR(IF(LEN(중요_시점[[#This Row],[요일]])=0,"",IF(AND(R$7=$E18,$F18=1),중요_시점_표식,"")),"")</f>
        <v/>
      </c>
      <c r="S18" s="26" t="str">
        <f ca="1">IFERROR(IF(LEN(중요_시점[[#This Row],[요일]])=0,"",IF(AND(S$7=$E18,$F18=1),중요_시점_표식,"")),"")</f>
        <v/>
      </c>
      <c r="T18" s="26" t="str">
        <f ca="1">IFERROR(IF(LEN(중요_시점[[#This Row],[요일]])=0,"",IF(AND(T$7=$E18,$F18=1),중요_시점_표식,"")),"")</f>
        <v/>
      </c>
      <c r="U18" s="26" t="str">
        <f ca="1">IFERROR(IF(LEN(중요_시점[[#This Row],[요일]])=0,"",IF(AND(U$7=$E18,$F18=1),중요_시점_표식,"")),"")</f>
        <v/>
      </c>
      <c r="V18" s="26" t="str">
        <f ca="1">IFERROR(IF(LEN(중요_시점[[#This Row],[요일]])=0,"",IF(AND(V$7=$E18,$F18=1),중요_시점_표식,"")),"")</f>
        <v/>
      </c>
      <c r="W18" s="26" t="str">
        <f ca="1">IFERROR(IF(LEN(중요_시점[[#This Row],[요일]])=0,"",IF(AND(W$7=$E18,$F18=1),중요_시점_표식,"")),"")</f>
        <v/>
      </c>
      <c r="X18" s="26" t="str">
        <f ca="1">IFERROR(IF(LEN(중요_시점[[#This Row],[요일]])=0,"",IF(AND(X$7=$E18,$F18=1),중요_시점_표식,"")),"")</f>
        <v/>
      </c>
      <c r="Y18" s="26" t="str">
        <f ca="1">IFERROR(IF(LEN(중요_시점[[#This Row],[요일]])=0,"",IF(AND(Y$7=$E18,$F18=1),중요_시점_표식,"")),"")</f>
        <v/>
      </c>
      <c r="Z18" s="26" t="str">
        <f ca="1">IFERROR(IF(LEN(중요_시점[[#This Row],[요일]])=0,"",IF(AND(Z$7=$E18,$F18=1),중요_시점_표식,"")),"")</f>
        <v/>
      </c>
      <c r="AA18" s="26" t="str">
        <f ca="1">IFERROR(IF(LEN(중요_시점[[#This Row],[요일]])=0,"",IF(AND(AA$7=$E18,$F18=1),중요_시점_표식,"")),"")</f>
        <v/>
      </c>
      <c r="AB18" s="26" t="str">
        <f ca="1">IFERROR(IF(LEN(중요_시점[[#This Row],[요일]])=0,"",IF(AND(AB$7=$E18,$F18=1),중요_시점_표식,"")),"")</f>
        <v/>
      </c>
      <c r="AC18" s="26" t="str">
        <f ca="1">IFERROR(IF(LEN(중요_시점[[#This Row],[요일]])=0,"",IF(AND(AC$7=$E18,$F18=1),중요_시점_표식,"")),"")</f>
        <v/>
      </c>
      <c r="AD18" s="26" t="str">
        <f ca="1">IFERROR(IF(LEN(중요_시점[[#This Row],[요일]])=0,"",IF(AND(AD$7=$E18,$F18=1),중요_시점_표식,"")),"")</f>
        <v/>
      </c>
      <c r="AE18" s="26" t="str">
        <f ca="1">IFERROR(IF(LEN(중요_시점[[#This Row],[요일]])=0,"",IF(AND(AE$7=$E18,$F18=1),중요_시점_표식,"")),"")</f>
        <v/>
      </c>
      <c r="AF18" s="26" t="str">
        <f ca="1">IFERROR(IF(LEN(중요_시점[[#This Row],[요일]])=0,"",IF(AND(AF$7=$E18,$F18=1),중요_시점_표식,"")),"")</f>
        <v/>
      </c>
      <c r="AG18" s="26" t="str">
        <f ca="1">IFERROR(IF(LEN(중요_시점[[#This Row],[요일]])=0,"",IF(AND(AG$7=$E18,$F18=1),중요_시점_표식,"")),"")</f>
        <v/>
      </c>
      <c r="AH18" s="26" t="str">
        <f ca="1">IFERROR(IF(LEN(중요_시점[[#This Row],[요일]])=0,"",IF(AND(AH$7=$E18,$F18=1),중요_시점_표식,"")),"")</f>
        <v/>
      </c>
      <c r="AI18" s="26" t="str">
        <f ca="1">IFERROR(IF(LEN(중요_시점[[#This Row],[요일]])=0,"",IF(AND(AI$7=$E18,$F18=1),중요_시점_표식,"")),"")</f>
        <v/>
      </c>
      <c r="AJ18" s="26" t="str">
        <f ca="1">IFERROR(IF(LEN(중요_시점[[#This Row],[요일]])=0,"",IF(AND(AJ$7=$E18,$F18=1),중요_시점_표식,"")),"")</f>
        <v/>
      </c>
      <c r="AK18" s="26" t="str">
        <f ca="1">IFERROR(IF(LEN(중요_시점[[#This Row],[요일]])=0,"",IF(AND(AK$7=$E18,$F18=1),중요_시점_표식,"")),"")</f>
        <v/>
      </c>
      <c r="AL18" s="26" t="str">
        <f ca="1">IFERROR(IF(LEN(중요_시점[[#This Row],[요일]])=0,"",IF(AND(AL$7=$E18,$F18=1),중요_시점_표식,"")),"")</f>
        <v/>
      </c>
      <c r="AM18" s="26" t="str">
        <f ca="1">IFERROR(IF(LEN(중요_시점[[#This Row],[요일]])=0,"",IF(AND(AM$7=$E18,$F18=1),중요_시점_표식,"")),"")</f>
        <v/>
      </c>
      <c r="AN18" s="26" t="str">
        <f ca="1">IFERROR(IF(LEN(중요_시점[[#This Row],[요일]])=0,"",IF(AND(AN$7=$E18,$F18=1),중요_시점_표식,"")),"")</f>
        <v/>
      </c>
      <c r="AO18" s="26" t="str">
        <f ca="1">IFERROR(IF(LEN(중요_시점[[#This Row],[요일]])=0,"",IF(AND(AO$7=$E18,$F18=1),중요_시점_표식,"")),"")</f>
        <v/>
      </c>
      <c r="AP18" s="26" t="str">
        <f ca="1">IFERROR(IF(LEN(중요_시점[[#This Row],[요일]])=0,"",IF(AND(AP$7=$E18,$F18=1),중요_시점_표식,"")),"")</f>
        <v/>
      </c>
      <c r="AQ18" s="26" t="str">
        <f ca="1">IFERROR(IF(LEN(중요_시점[[#This Row],[요일]])=0,"",IF(AND(AQ$7=$E18,$F18=1),중요_시점_표식,"")),"")</f>
        <v/>
      </c>
      <c r="AR18" s="26" t="str">
        <f ca="1">IFERROR(IF(LEN(중요_시점[[#This Row],[요일]])=0,"",IF(AND(AR$7=$E18,$F18=1),중요_시점_표식,"")),"")</f>
        <v/>
      </c>
      <c r="AS18" s="26" t="str">
        <f ca="1">IFERROR(IF(LEN(중요_시점[[#This Row],[요일]])=0,"",IF(AND(AS$7=$E18,$F18=1),중요_시점_표식,"")),"")</f>
        <v/>
      </c>
      <c r="AT18" s="26" t="str">
        <f ca="1">IFERROR(IF(LEN(중요_시점[[#This Row],[요일]])=0,"",IF(AND(AT$7=$E18,$F18=1),중요_시점_표식,"")),"")</f>
        <v/>
      </c>
      <c r="AU18" s="26" t="str">
        <f ca="1">IFERROR(IF(LEN(중요_시점[[#This Row],[요일]])=0,"",IF(AND(AU$7=$E18,$F18=1),중요_시점_표식,"")),"")</f>
        <v/>
      </c>
      <c r="AV18" s="26" t="str">
        <f ca="1">IFERROR(IF(LEN(중요_시점[[#This Row],[요일]])=0,"",IF(AND(AV$7=$E18,$F18=1),중요_시점_표식,"")),"")</f>
        <v/>
      </c>
      <c r="AW18" s="26" t="str">
        <f ca="1">IFERROR(IF(LEN(중요_시점[[#This Row],[요일]])=0,"",IF(AND(AW$7=$E18,$F18=1),중요_시점_표식,"")),"")</f>
        <v/>
      </c>
      <c r="AX18" s="26" t="str">
        <f ca="1">IFERROR(IF(LEN(중요_시점[[#This Row],[요일]])=0,"",IF(AND(AX$7=$E18,$F18=1),중요_시점_표식,"")),"")</f>
        <v/>
      </c>
      <c r="AY18" s="26" t="str">
        <f ca="1">IFERROR(IF(LEN(중요_시점[[#This Row],[요일]])=0,"",IF(AND(AY$7=$E18,$F18=1),중요_시점_표식,"")),"")</f>
        <v/>
      </c>
      <c r="AZ18" s="26" t="str">
        <f ca="1">IFERROR(IF(LEN(중요_시점[[#This Row],[요일]])=0,"",IF(AND(AZ$7=$E18,$F18=1),중요_시점_표식,"")),"")</f>
        <v/>
      </c>
      <c r="BA18" s="26" t="str">
        <f ca="1">IFERROR(IF(LEN(중요_시점[[#This Row],[요일]])=0,"",IF(AND(BA$7=$E18,$F18=1),중요_시점_표식,"")),"")</f>
        <v/>
      </c>
      <c r="BB18" s="26" t="str">
        <f ca="1">IFERROR(IF(LEN(중요_시점[[#This Row],[요일]])=0,"",IF(AND(BB$7=$E18,$F18=1),중요_시점_표식,"")),"")</f>
        <v/>
      </c>
      <c r="BC18" s="26" t="str">
        <f ca="1">IFERROR(IF(LEN(중요_시점[[#This Row],[요일]])=0,"",IF(AND(BC$7=$E18,$F18=1),중요_시점_표식,"")),"")</f>
        <v/>
      </c>
      <c r="BD18" s="26" t="str">
        <f ca="1">IFERROR(IF(LEN(중요_시점[[#This Row],[요일]])=0,"",IF(AND(BD$7=$E18,$F18=1),중요_시점_표식,"")),"")</f>
        <v/>
      </c>
      <c r="BE18" s="26" t="str">
        <f ca="1">IFERROR(IF(LEN(중요_시점[[#This Row],[요일]])=0,"",IF(AND(BE$7=$E18,$F18=1),중요_시점_표식,"")),"")</f>
        <v/>
      </c>
      <c r="BF18" s="26" t="str">
        <f ca="1">IFERROR(IF(LEN(중요_시점[[#This Row],[요일]])=0,"",IF(AND(BF$7=$E18,$F18=1),중요_시점_표식,"")),"")</f>
        <v/>
      </c>
      <c r="BG18" s="26" t="str">
        <f ca="1">IFERROR(IF(LEN(중요_시점[[#This Row],[요일]])=0,"",IF(AND(BG$7=$E18,$F18=1),중요_시점_표식,"")),"")</f>
        <v/>
      </c>
      <c r="BH18" s="26" t="str">
        <f ca="1">IFERROR(IF(LEN(중요_시점[[#This Row],[요일]])=0,"",IF(AND(BH$7=$E18,$F18=1),중요_시점_표식,"")),"")</f>
        <v/>
      </c>
      <c r="BI18" s="26" t="str">
        <f ca="1">IFERROR(IF(LEN(중요_시점[[#This Row],[요일]])=0,"",IF(AND(BI$7=$E18,$F18=1),중요_시점_표식,"")),"")</f>
        <v/>
      </c>
      <c r="BJ18" s="26" t="str">
        <f ca="1">IFERROR(IF(LEN(중요_시점[[#This Row],[요일]])=0,"",IF(AND(BJ$7=$E18,$F18=1),중요_시점_표식,"")),"")</f>
        <v/>
      </c>
      <c r="BK18" s="26" t="str">
        <f ca="1">IFERROR(IF(LEN(중요_시점[[#This Row],[요일]])=0,"",IF(AND(BK$7=$E18,$F18=1),중요_시점_표식,"")),"")</f>
        <v/>
      </c>
    </row>
    <row r="19" spans="1:63" s="1" customFormat="1" ht="30" customHeight="1" outlineLevel="1">
      <c r="A19" s="5"/>
      <c r="B19" s="49" t="s">
        <v>12</v>
      </c>
      <c r="C19" s="13"/>
      <c r="D19" s="43">
        <v>0.33</v>
      </c>
      <c r="E19" s="42">
        <f ca="1">TODAY()+15</f>
        <v>44603</v>
      </c>
      <c r="F19" s="12">
        <v>11</v>
      </c>
      <c r="G19" s="27"/>
      <c r="H19" s="26" t="str">
        <f ca="1">IFERROR(IF(LEN(중요_시점[[#This Row],[요일]])=0,"",IF(AND(H$7=$E19,$F19=1),중요_시점_표식,"")),"")</f>
        <v/>
      </c>
      <c r="I19" s="26" t="str">
        <f ca="1">IFERROR(IF(LEN(중요_시점[[#This Row],[요일]])=0,"",IF(AND(I$7=$E19,$F19=1),중요_시점_표식,"")),"")</f>
        <v/>
      </c>
      <c r="J19" s="26" t="str">
        <f ca="1">IFERROR(IF(LEN(중요_시점[[#This Row],[요일]])=0,"",IF(AND(J$7=$E19,$F19=1),중요_시점_표식,"")),"")</f>
        <v/>
      </c>
      <c r="K19" s="26" t="str">
        <f ca="1">IFERROR(IF(LEN(중요_시점[[#This Row],[요일]])=0,"",IF(AND(K$7=$E19,$F19=1),중요_시점_표식,"")),"")</f>
        <v/>
      </c>
      <c r="L19" s="26" t="str">
        <f ca="1">IFERROR(IF(LEN(중요_시점[[#This Row],[요일]])=0,"",IF(AND(L$7=$E19,$F19=1),중요_시점_표식,"")),"")</f>
        <v/>
      </c>
      <c r="M19" s="26" t="str">
        <f ca="1">IFERROR(IF(LEN(중요_시점[[#This Row],[요일]])=0,"",IF(AND(M$7=$E19,$F19=1),중요_시점_표식,"")),"")</f>
        <v/>
      </c>
      <c r="N19" s="26" t="str">
        <f ca="1">IFERROR(IF(LEN(중요_시점[[#This Row],[요일]])=0,"",IF(AND(N$7=$E19,$F19=1),중요_시점_표식,"")),"")</f>
        <v/>
      </c>
      <c r="O19" s="26" t="str">
        <f ca="1">IFERROR(IF(LEN(중요_시점[[#This Row],[요일]])=0,"",IF(AND(O$7=$E19,$F19=1),중요_시점_표식,"")),"")</f>
        <v/>
      </c>
      <c r="P19" s="26" t="str">
        <f ca="1">IFERROR(IF(LEN(중요_시점[[#This Row],[요일]])=0,"",IF(AND(P$7=$E19,$F19=1),중요_시점_표식,"")),"")</f>
        <v/>
      </c>
      <c r="Q19" s="26" t="str">
        <f ca="1">IFERROR(IF(LEN(중요_시점[[#This Row],[요일]])=0,"",IF(AND(Q$7=$E19,$F19=1),중요_시점_표식,"")),"")</f>
        <v/>
      </c>
      <c r="R19" s="26" t="str">
        <f ca="1">IFERROR(IF(LEN(중요_시점[[#This Row],[요일]])=0,"",IF(AND(R$7=$E19,$F19=1),중요_시점_표식,"")),"")</f>
        <v/>
      </c>
      <c r="S19" s="26" t="str">
        <f ca="1">IFERROR(IF(LEN(중요_시점[[#This Row],[요일]])=0,"",IF(AND(S$7=$E19,$F19=1),중요_시점_표식,"")),"")</f>
        <v/>
      </c>
      <c r="T19" s="26" t="str">
        <f ca="1">IFERROR(IF(LEN(중요_시점[[#This Row],[요일]])=0,"",IF(AND(T$7=$E19,$F19=1),중요_시점_표식,"")),"")</f>
        <v/>
      </c>
      <c r="U19" s="26" t="str">
        <f ca="1">IFERROR(IF(LEN(중요_시점[[#This Row],[요일]])=0,"",IF(AND(U$7=$E19,$F19=1),중요_시점_표식,"")),"")</f>
        <v/>
      </c>
      <c r="V19" s="26" t="str">
        <f ca="1">IFERROR(IF(LEN(중요_시점[[#This Row],[요일]])=0,"",IF(AND(V$7=$E19,$F19=1),중요_시점_표식,"")),"")</f>
        <v/>
      </c>
      <c r="W19" s="26" t="str">
        <f ca="1">IFERROR(IF(LEN(중요_시점[[#This Row],[요일]])=0,"",IF(AND(W$7=$E19,$F19=1),중요_시점_표식,"")),"")</f>
        <v/>
      </c>
      <c r="X19" s="26" t="str">
        <f ca="1">IFERROR(IF(LEN(중요_시점[[#This Row],[요일]])=0,"",IF(AND(X$7=$E19,$F19=1),중요_시점_표식,"")),"")</f>
        <v/>
      </c>
      <c r="Y19" s="26" t="str">
        <f ca="1">IFERROR(IF(LEN(중요_시점[[#This Row],[요일]])=0,"",IF(AND(Y$7=$E19,$F19=1),중요_시점_표식,"")),"")</f>
        <v/>
      </c>
      <c r="Z19" s="26" t="str">
        <f ca="1">IFERROR(IF(LEN(중요_시점[[#This Row],[요일]])=0,"",IF(AND(Z$7=$E19,$F19=1),중요_시점_표식,"")),"")</f>
        <v/>
      </c>
      <c r="AA19" s="26" t="str">
        <f ca="1">IFERROR(IF(LEN(중요_시점[[#This Row],[요일]])=0,"",IF(AND(AA$7=$E19,$F19=1),중요_시점_표식,"")),"")</f>
        <v/>
      </c>
      <c r="AB19" s="26" t="str">
        <f ca="1">IFERROR(IF(LEN(중요_시점[[#This Row],[요일]])=0,"",IF(AND(AB$7=$E19,$F19=1),중요_시점_표식,"")),"")</f>
        <v/>
      </c>
      <c r="AC19" s="26" t="str">
        <f ca="1">IFERROR(IF(LEN(중요_시점[[#This Row],[요일]])=0,"",IF(AND(AC$7=$E19,$F19=1),중요_시점_표식,"")),"")</f>
        <v/>
      </c>
      <c r="AD19" s="26" t="str">
        <f ca="1">IFERROR(IF(LEN(중요_시점[[#This Row],[요일]])=0,"",IF(AND(AD$7=$E19,$F19=1),중요_시점_표식,"")),"")</f>
        <v/>
      </c>
      <c r="AE19" s="26" t="str">
        <f ca="1">IFERROR(IF(LEN(중요_시점[[#This Row],[요일]])=0,"",IF(AND(AE$7=$E19,$F19=1),중요_시점_표식,"")),"")</f>
        <v/>
      </c>
      <c r="AF19" s="26" t="str">
        <f ca="1">IFERROR(IF(LEN(중요_시점[[#This Row],[요일]])=0,"",IF(AND(AF$7=$E19,$F19=1),중요_시점_표식,"")),"")</f>
        <v/>
      </c>
      <c r="AG19" s="26" t="str">
        <f ca="1">IFERROR(IF(LEN(중요_시점[[#This Row],[요일]])=0,"",IF(AND(AG$7=$E19,$F19=1),중요_시점_표식,"")),"")</f>
        <v/>
      </c>
      <c r="AH19" s="26" t="str">
        <f ca="1">IFERROR(IF(LEN(중요_시점[[#This Row],[요일]])=0,"",IF(AND(AH$7=$E19,$F19=1),중요_시점_표식,"")),"")</f>
        <v/>
      </c>
      <c r="AI19" s="26" t="str">
        <f ca="1">IFERROR(IF(LEN(중요_시점[[#This Row],[요일]])=0,"",IF(AND(AI$7=$E19,$F19=1),중요_시점_표식,"")),"")</f>
        <v/>
      </c>
      <c r="AJ19" s="26" t="str">
        <f ca="1">IFERROR(IF(LEN(중요_시점[[#This Row],[요일]])=0,"",IF(AND(AJ$7=$E19,$F19=1),중요_시점_표식,"")),"")</f>
        <v/>
      </c>
      <c r="AK19" s="26" t="str">
        <f ca="1">IFERROR(IF(LEN(중요_시점[[#This Row],[요일]])=0,"",IF(AND(AK$7=$E19,$F19=1),중요_시점_표식,"")),"")</f>
        <v/>
      </c>
      <c r="AL19" s="26" t="str">
        <f ca="1">IFERROR(IF(LEN(중요_시점[[#This Row],[요일]])=0,"",IF(AND(AL$7=$E19,$F19=1),중요_시점_표식,"")),"")</f>
        <v/>
      </c>
      <c r="AM19" s="26" t="str">
        <f ca="1">IFERROR(IF(LEN(중요_시점[[#This Row],[요일]])=0,"",IF(AND(AM$7=$E19,$F19=1),중요_시점_표식,"")),"")</f>
        <v/>
      </c>
      <c r="AN19" s="26" t="str">
        <f ca="1">IFERROR(IF(LEN(중요_시점[[#This Row],[요일]])=0,"",IF(AND(AN$7=$E19,$F19=1),중요_시점_표식,"")),"")</f>
        <v/>
      </c>
      <c r="AO19" s="26" t="str">
        <f ca="1">IFERROR(IF(LEN(중요_시점[[#This Row],[요일]])=0,"",IF(AND(AO$7=$E19,$F19=1),중요_시점_표식,"")),"")</f>
        <v/>
      </c>
      <c r="AP19" s="26" t="str">
        <f ca="1">IFERROR(IF(LEN(중요_시점[[#This Row],[요일]])=0,"",IF(AND(AP$7=$E19,$F19=1),중요_시점_표식,"")),"")</f>
        <v/>
      </c>
      <c r="AQ19" s="26" t="str">
        <f ca="1">IFERROR(IF(LEN(중요_시점[[#This Row],[요일]])=0,"",IF(AND(AQ$7=$E19,$F19=1),중요_시점_표식,"")),"")</f>
        <v/>
      </c>
      <c r="AR19" s="26" t="str">
        <f ca="1">IFERROR(IF(LEN(중요_시점[[#This Row],[요일]])=0,"",IF(AND(AR$7=$E19,$F19=1),중요_시점_표식,"")),"")</f>
        <v/>
      </c>
      <c r="AS19" s="26" t="str">
        <f ca="1">IFERROR(IF(LEN(중요_시점[[#This Row],[요일]])=0,"",IF(AND(AS$7=$E19,$F19=1),중요_시점_표식,"")),"")</f>
        <v/>
      </c>
      <c r="AT19" s="26" t="str">
        <f ca="1">IFERROR(IF(LEN(중요_시점[[#This Row],[요일]])=0,"",IF(AND(AT$7=$E19,$F19=1),중요_시점_표식,"")),"")</f>
        <v/>
      </c>
      <c r="AU19" s="26" t="str">
        <f ca="1">IFERROR(IF(LEN(중요_시점[[#This Row],[요일]])=0,"",IF(AND(AU$7=$E19,$F19=1),중요_시점_표식,"")),"")</f>
        <v/>
      </c>
      <c r="AV19" s="26" t="str">
        <f ca="1">IFERROR(IF(LEN(중요_시점[[#This Row],[요일]])=0,"",IF(AND(AV$7=$E19,$F19=1),중요_시점_표식,"")),"")</f>
        <v/>
      </c>
      <c r="AW19" s="26" t="str">
        <f ca="1">IFERROR(IF(LEN(중요_시점[[#This Row],[요일]])=0,"",IF(AND(AW$7=$E19,$F19=1),중요_시점_표식,"")),"")</f>
        <v/>
      </c>
      <c r="AX19" s="26" t="str">
        <f ca="1">IFERROR(IF(LEN(중요_시점[[#This Row],[요일]])=0,"",IF(AND(AX$7=$E19,$F19=1),중요_시점_표식,"")),"")</f>
        <v/>
      </c>
      <c r="AY19" s="26" t="str">
        <f ca="1">IFERROR(IF(LEN(중요_시점[[#This Row],[요일]])=0,"",IF(AND(AY$7=$E19,$F19=1),중요_시점_표식,"")),"")</f>
        <v/>
      </c>
      <c r="AZ19" s="26" t="str">
        <f ca="1">IFERROR(IF(LEN(중요_시점[[#This Row],[요일]])=0,"",IF(AND(AZ$7=$E19,$F19=1),중요_시점_표식,"")),"")</f>
        <v/>
      </c>
      <c r="BA19" s="26" t="str">
        <f ca="1">IFERROR(IF(LEN(중요_시점[[#This Row],[요일]])=0,"",IF(AND(BA$7=$E19,$F19=1),중요_시점_표식,"")),"")</f>
        <v/>
      </c>
      <c r="BB19" s="26" t="str">
        <f ca="1">IFERROR(IF(LEN(중요_시점[[#This Row],[요일]])=0,"",IF(AND(BB$7=$E19,$F19=1),중요_시점_표식,"")),"")</f>
        <v/>
      </c>
      <c r="BC19" s="26" t="str">
        <f ca="1">IFERROR(IF(LEN(중요_시점[[#This Row],[요일]])=0,"",IF(AND(BC$7=$E19,$F19=1),중요_시점_표식,"")),"")</f>
        <v/>
      </c>
      <c r="BD19" s="26" t="str">
        <f ca="1">IFERROR(IF(LEN(중요_시점[[#This Row],[요일]])=0,"",IF(AND(BD$7=$E19,$F19=1),중요_시점_표식,"")),"")</f>
        <v/>
      </c>
      <c r="BE19" s="26" t="str">
        <f ca="1">IFERROR(IF(LEN(중요_시점[[#This Row],[요일]])=0,"",IF(AND(BE$7=$E19,$F19=1),중요_시점_표식,"")),"")</f>
        <v/>
      </c>
      <c r="BF19" s="26" t="str">
        <f ca="1">IFERROR(IF(LEN(중요_시점[[#This Row],[요일]])=0,"",IF(AND(BF$7=$E19,$F19=1),중요_시점_표식,"")),"")</f>
        <v/>
      </c>
      <c r="BG19" s="26" t="str">
        <f ca="1">IFERROR(IF(LEN(중요_시점[[#This Row],[요일]])=0,"",IF(AND(BG$7=$E19,$F19=1),중요_시점_표식,"")),"")</f>
        <v/>
      </c>
      <c r="BH19" s="26" t="str">
        <f ca="1">IFERROR(IF(LEN(중요_시점[[#This Row],[요일]])=0,"",IF(AND(BH$7=$E19,$F19=1),중요_시점_표식,"")),"")</f>
        <v/>
      </c>
      <c r="BI19" s="26" t="str">
        <f ca="1">IFERROR(IF(LEN(중요_시점[[#This Row],[요일]])=0,"",IF(AND(BI$7=$E19,$F19=1),중요_시점_표식,"")),"")</f>
        <v/>
      </c>
      <c r="BJ19" s="26" t="str">
        <f ca="1">IFERROR(IF(LEN(중요_시점[[#This Row],[요일]])=0,"",IF(AND(BJ$7=$E19,$F19=1),중요_시점_표식,"")),"")</f>
        <v/>
      </c>
      <c r="BK19" s="26" t="str">
        <f ca="1">IFERROR(IF(LEN(중요_시점[[#This Row],[요일]])=0,"",IF(AND(BK$7=$E19,$F19=1),중요_시점_표식,"")),"")</f>
        <v/>
      </c>
    </row>
    <row r="20" spans="1:63" s="1" customFormat="1" ht="30" customHeight="1" outlineLevel="1">
      <c r="A20" s="5"/>
      <c r="B20" s="49" t="s">
        <v>13</v>
      </c>
      <c r="C20" s="13"/>
      <c r="D20" s="43"/>
      <c r="E20" s="42">
        <f ca="1">TODAY()+24</f>
        <v>44612</v>
      </c>
      <c r="F20" s="12">
        <v>1</v>
      </c>
      <c r="G20" s="27"/>
      <c r="H20" s="26" t="str">
        <f ca="1">IFERROR(IF(LEN(중요_시점[[#This Row],[요일]])=0,"",IF(AND(H$7=$E20,$F20=1),중요_시점_표식,"")),"")</f>
        <v/>
      </c>
      <c r="I20" s="26" t="str">
        <f ca="1">IFERROR(IF(LEN(중요_시점[[#This Row],[요일]])=0,"",IF(AND(I$7=$E20,$F20=1),중요_시점_표식,"")),"")</f>
        <v/>
      </c>
      <c r="J20" s="26" t="str">
        <f ca="1">IFERROR(IF(LEN(중요_시점[[#This Row],[요일]])=0,"",IF(AND(J$7=$E20,$F20=1),중요_시점_표식,"")),"")</f>
        <v/>
      </c>
      <c r="K20" s="26" t="str">
        <f ca="1">IFERROR(IF(LEN(중요_시점[[#This Row],[요일]])=0,"",IF(AND(K$7=$E20,$F20=1),중요_시점_표식,"")),"")</f>
        <v/>
      </c>
      <c r="L20" s="26" t="str">
        <f ca="1">IFERROR(IF(LEN(중요_시점[[#This Row],[요일]])=0,"",IF(AND(L$7=$E20,$F20=1),중요_시점_표식,"")),"")</f>
        <v/>
      </c>
      <c r="M20" s="26" t="str">
        <f ca="1">IFERROR(IF(LEN(중요_시점[[#This Row],[요일]])=0,"",IF(AND(M$7=$E20,$F20=1),중요_시점_표식,"")),"")</f>
        <v/>
      </c>
      <c r="N20" s="26" t="str">
        <f ca="1">IFERROR(IF(LEN(중요_시점[[#This Row],[요일]])=0,"",IF(AND(N$7=$E20,$F20=1),중요_시점_표식,"")),"")</f>
        <v/>
      </c>
      <c r="O20" s="26" t="str">
        <f ca="1">IFERROR(IF(LEN(중요_시점[[#This Row],[요일]])=0,"",IF(AND(O$7=$E20,$F20=1),중요_시점_표식,"")),"")</f>
        <v/>
      </c>
      <c r="P20" s="26" t="str">
        <f ca="1">IFERROR(IF(LEN(중요_시점[[#This Row],[요일]])=0,"",IF(AND(P$7=$E20,$F20=1),중요_시점_표식,"")),"")</f>
        <v/>
      </c>
      <c r="Q20" s="26" t="str">
        <f ca="1">IFERROR(IF(LEN(중요_시점[[#This Row],[요일]])=0,"",IF(AND(Q$7=$E20,$F20=1),중요_시점_표식,"")),"")</f>
        <v/>
      </c>
      <c r="R20" s="26" t="str">
        <f ca="1">IFERROR(IF(LEN(중요_시점[[#This Row],[요일]])=0,"",IF(AND(R$7=$E20,$F20=1),중요_시점_표식,"")),"")</f>
        <v/>
      </c>
      <c r="S20" s="26">
        <f ca="1">IFERROR(IF(LEN(중요_시점[[#This Row],[요일]])=0,"",IF(AND(S$7=$E20,$F20=1),중요_시점_표식,"")),"")</f>
        <v>1</v>
      </c>
      <c r="T20" s="26" t="str">
        <f ca="1">IFERROR(IF(LEN(중요_시점[[#This Row],[요일]])=0,"",IF(AND(T$7=$E20,$F20=1),중요_시점_표식,"")),"")</f>
        <v/>
      </c>
      <c r="U20" s="26" t="str">
        <f ca="1">IFERROR(IF(LEN(중요_시점[[#This Row],[요일]])=0,"",IF(AND(U$7=$E20,$F20=1),중요_시점_표식,"")),"")</f>
        <v/>
      </c>
      <c r="V20" s="26" t="str">
        <f ca="1">IFERROR(IF(LEN(중요_시점[[#This Row],[요일]])=0,"",IF(AND(V$7=$E20,$F20=1),중요_시점_표식,"")),"")</f>
        <v/>
      </c>
      <c r="W20" s="26" t="str">
        <f ca="1">IFERROR(IF(LEN(중요_시점[[#This Row],[요일]])=0,"",IF(AND(W$7=$E20,$F20=1),중요_시점_표식,"")),"")</f>
        <v/>
      </c>
      <c r="X20" s="26" t="str">
        <f ca="1">IFERROR(IF(LEN(중요_시점[[#This Row],[요일]])=0,"",IF(AND(X$7=$E20,$F20=1),중요_시점_표식,"")),"")</f>
        <v/>
      </c>
      <c r="Y20" s="26" t="str">
        <f ca="1">IFERROR(IF(LEN(중요_시점[[#This Row],[요일]])=0,"",IF(AND(Y$7=$E20,$F20=1),중요_시점_표식,"")),"")</f>
        <v/>
      </c>
      <c r="Z20" s="26" t="str">
        <f ca="1">IFERROR(IF(LEN(중요_시점[[#This Row],[요일]])=0,"",IF(AND(Z$7=$E20,$F20=1),중요_시점_표식,"")),"")</f>
        <v/>
      </c>
      <c r="AA20" s="26" t="str">
        <f ca="1">IFERROR(IF(LEN(중요_시점[[#This Row],[요일]])=0,"",IF(AND(AA$7=$E20,$F20=1),중요_시점_표식,"")),"")</f>
        <v/>
      </c>
      <c r="AB20" s="26" t="str">
        <f ca="1">IFERROR(IF(LEN(중요_시점[[#This Row],[요일]])=0,"",IF(AND(AB$7=$E20,$F20=1),중요_시점_표식,"")),"")</f>
        <v/>
      </c>
      <c r="AC20" s="26" t="str">
        <f ca="1">IFERROR(IF(LEN(중요_시점[[#This Row],[요일]])=0,"",IF(AND(AC$7=$E20,$F20=1),중요_시점_표식,"")),"")</f>
        <v/>
      </c>
      <c r="AD20" s="26" t="str">
        <f ca="1">IFERROR(IF(LEN(중요_시점[[#This Row],[요일]])=0,"",IF(AND(AD$7=$E20,$F20=1),중요_시점_표식,"")),"")</f>
        <v/>
      </c>
      <c r="AE20" s="26" t="str">
        <f ca="1">IFERROR(IF(LEN(중요_시점[[#This Row],[요일]])=0,"",IF(AND(AE$7=$E20,$F20=1),중요_시점_표식,"")),"")</f>
        <v/>
      </c>
      <c r="AF20" s="26" t="str">
        <f ca="1">IFERROR(IF(LEN(중요_시점[[#This Row],[요일]])=0,"",IF(AND(AF$7=$E20,$F20=1),중요_시점_표식,"")),"")</f>
        <v/>
      </c>
      <c r="AG20" s="26" t="str">
        <f ca="1">IFERROR(IF(LEN(중요_시점[[#This Row],[요일]])=0,"",IF(AND(AG$7=$E20,$F20=1),중요_시점_표식,"")),"")</f>
        <v/>
      </c>
      <c r="AH20" s="26" t="str">
        <f ca="1">IFERROR(IF(LEN(중요_시점[[#This Row],[요일]])=0,"",IF(AND(AH$7=$E20,$F20=1),중요_시점_표식,"")),"")</f>
        <v/>
      </c>
      <c r="AI20" s="26" t="str">
        <f ca="1">IFERROR(IF(LEN(중요_시점[[#This Row],[요일]])=0,"",IF(AND(AI$7=$E20,$F20=1),중요_시점_표식,"")),"")</f>
        <v/>
      </c>
      <c r="AJ20" s="26" t="str">
        <f ca="1">IFERROR(IF(LEN(중요_시점[[#This Row],[요일]])=0,"",IF(AND(AJ$7=$E20,$F20=1),중요_시점_표식,"")),"")</f>
        <v/>
      </c>
      <c r="AK20" s="26" t="str">
        <f ca="1">IFERROR(IF(LEN(중요_시점[[#This Row],[요일]])=0,"",IF(AND(AK$7=$E20,$F20=1),중요_시점_표식,"")),"")</f>
        <v/>
      </c>
      <c r="AL20" s="26" t="str">
        <f ca="1">IFERROR(IF(LEN(중요_시점[[#This Row],[요일]])=0,"",IF(AND(AL$7=$E20,$F20=1),중요_시점_표식,"")),"")</f>
        <v/>
      </c>
      <c r="AM20" s="26" t="str">
        <f ca="1">IFERROR(IF(LEN(중요_시점[[#This Row],[요일]])=0,"",IF(AND(AM$7=$E20,$F20=1),중요_시점_표식,"")),"")</f>
        <v/>
      </c>
      <c r="AN20" s="26" t="str">
        <f ca="1">IFERROR(IF(LEN(중요_시점[[#This Row],[요일]])=0,"",IF(AND(AN$7=$E20,$F20=1),중요_시점_표식,"")),"")</f>
        <v/>
      </c>
      <c r="AO20" s="26" t="str">
        <f ca="1">IFERROR(IF(LEN(중요_시점[[#This Row],[요일]])=0,"",IF(AND(AO$7=$E20,$F20=1),중요_시점_표식,"")),"")</f>
        <v/>
      </c>
      <c r="AP20" s="26" t="str">
        <f ca="1">IFERROR(IF(LEN(중요_시점[[#This Row],[요일]])=0,"",IF(AND(AP$7=$E20,$F20=1),중요_시점_표식,"")),"")</f>
        <v/>
      </c>
      <c r="AQ20" s="26" t="str">
        <f ca="1">IFERROR(IF(LEN(중요_시점[[#This Row],[요일]])=0,"",IF(AND(AQ$7=$E20,$F20=1),중요_시점_표식,"")),"")</f>
        <v/>
      </c>
      <c r="AR20" s="26" t="str">
        <f ca="1">IFERROR(IF(LEN(중요_시점[[#This Row],[요일]])=0,"",IF(AND(AR$7=$E20,$F20=1),중요_시점_표식,"")),"")</f>
        <v/>
      </c>
      <c r="AS20" s="26" t="str">
        <f ca="1">IFERROR(IF(LEN(중요_시점[[#This Row],[요일]])=0,"",IF(AND(AS$7=$E20,$F20=1),중요_시점_표식,"")),"")</f>
        <v/>
      </c>
      <c r="AT20" s="26" t="str">
        <f ca="1">IFERROR(IF(LEN(중요_시점[[#This Row],[요일]])=0,"",IF(AND(AT$7=$E20,$F20=1),중요_시점_표식,"")),"")</f>
        <v/>
      </c>
      <c r="AU20" s="26" t="str">
        <f ca="1">IFERROR(IF(LEN(중요_시점[[#This Row],[요일]])=0,"",IF(AND(AU$7=$E20,$F20=1),중요_시점_표식,"")),"")</f>
        <v/>
      </c>
      <c r="AV20" s="26" t="str">
        <f ca="1">IFERROR(IF(LEN(중요_시점[[#This Row],[요일]])=0,"",IF(AND(AV$7=$E20,$F20=1),중요_시점_표식,"")),"")</f>
        <v/>
      </c>
      <c r="AW20" s="26" t="str">
        <f ca="1">IFERROR(IF(LEN(중요_시점[[#This Row],[요일]])=0,"",IF(AND(AW$7=$E20,$F20=1),중요_시점_표식,"")),"")</f>
        <v/>
      </c>
      <c r="AX20" s="26" t="str">
        <f ca="1">IFERROR(IF(LEN(중요_시점[[#This Row],[요일]])=0,"",IF(AND(AX$7=$E20,$F20=1),중요_시점_표식,"")),"")</f>
        <v/>
      </c>
      <c r="AY20" s="26" t="str">
        <f ca="1">IFERROR(IF(LEN(중요_시점[[#This Row],[요일]])=0,"",IF(AND(AY$7=$E20,$F20=1),중요_시점_표식,"")),"")</f>
        <v/>
      </c>
      <c r="AZ20" s="26" t="str">
        <f ca="1">IFERROR(IF(LEN(중요_시점[[#This Row],[요일]])=0,"",IF(AND(AZ$7=$E20,$F20=1),중요_시점_표식,"")),"")</f>
        <v/>
      </c>
      <c r="BA20" s="26" t="str">
        <f ca="1">IFERROR(IF(LEN(중요_시점[[#This Row],[요일]])=0,"",IF(AND(BA$7=$E20,$F20=1),중요_시점_표식,"")),"")</f>
        <v/>
      </c>
      <c r="BB20" s="26" t="str">
        <f ca="1">IFERROR(IF(LEN(중요_시점[[#This Row],[요일]])=0,"",IF(AND(BB$7=$E20,$F20=1),중요_시점_표식,"")),"")</f>
        <v/>
      </c>
      <c r="BC20" s="26" t="str">
        <f ca="1">IFERROR(IF(LEN(중요_시점[[#This Row],[요일]])=0,"",IF(AND(BC$7=$E20,$F20=1),중요_시점_표식,"")),"")</f>
        <v/>
      </c>
      <c r="BD20" s="26" t="str">
        <f ca="1">IFERROR(IF(LEN(중요_시점[[#This Row],[요일]])=0,"",IF(AND(BD$7=$E20,$F20=1),중요_시점_표식,"")),"")</f>
        <v/>
      </c>
      <c r="BE20" s="26" t="str">
        <f ca="1">IFERROR(IF(LEN(중요_시점[[#This Row],[요일]])=0,"",IF(AND(BE$7=$E20,$F20=1),중요_시점_표식,"")),"")</f>
        <v/>
      </c>
      <c r="BF20" s="26" t="str">
        <f ca="1">IFERROR(IF(LEN(중요_시점[[#This Row],[요일]])=0,"",IF(AND(BF$7=$E20,$F20=1),중요_시점_표식,"")),"")</f>
        <v/>
      </c>
      <c r="BG20" s="26" t="str">
        <f ca="1">IFERROR(IF(LEN(중요_시점[[#This Row],[요일]])=0,"",IF(AND(BG$7=$E20,$F20=1),중요_시점_표식,"")),"")</f>
        <v/>
      </c>
      <c r="BH20" s="26" t="str">
        <f ca="1">IFERROR(IF(LEN(중요_시점[[#This Row],[요일]])=0,"",IF(AND(BH$7=$E20,$F20=1),중요_시점_표식,"")),"")</f>
        <v/>
      </c>
      <c r="BI20" s="26" t="str">
        <f ca="1">IFERROR(IF(LEN(중요_시점[[#This Row],[요일]])=0,"",IF(AND(BI$7=$E20,$F20=1),중요_시점_표식,"")),"")</f>
        <v/>
      </c>
      <c r="BJ20" s="26" t="str">
        <f ca="1">IFERROR(IF(LEN(중요_시점[[#This Row],[요일]])=0,"",IF(AND(BJ$7=$E20,$F20=1),중요_시점_표식,"")),"")</f>
        <v/>
      </c>
      <c r="BK20" s="26" t="str">
        <f ca="1">IFERROR(IF(LEN(중요_시점[[#This Row],[요일]])=0,"",IF(AND(BK$7=$E20,$F20=1),중요_시점_표식,"")),"")</f>
        <v/>
      </c>
    </row>
    <row r="21" spans="1:63" s="1" customFormat="1" ht="30" customHeight="1" outlineLevel="1">
      <c r="A21" s="5"/>
      <c r="B21" s="49" t="s">
        <v>14</v>
      </c>
      <c r="C21" s="13"/>
      <c r="D21" s="43"/>
      <c r="E21" s="42">
        <f ca="1">TODAY()+25</f>
        <v>44613</v>
      </c>
      <c r="F21" s="12">
        <v>24</v>
      </c>
      <c r="G21" s="27"/>
      <c r="H21" s="26" t="str">
        <f ca="1">IFERROR(IF(LEN(중요_시점[[#This Row],[요일]])=0,"",IF(AND(H$7=$E21,$F21=1),중요_시점_표식,"")),"")</f>
        <v/>
      </c>
      <c r="I21" s="26" t="str">
        <f ca="1">IFERROR(IF(LEN(중요_시점[[#This Row],[요일]])=0,"",IF(AND(I$7=$E21,$F21=1),중요_시점_표식,"")),"")</f>
        <v/>
      </c>
      <c r="J21" s="26" t="str">
        <f ca="1">IFERROR(IF(LEN(중요_시점[[#This Row],[요일]])=0,"",IF(AND(J$7=$E21,$F21=1),중요_시점_표식,"")),"")</f>
        <v/>
      </c>
      <c r="K21" s="26" t="str">
        <f ca="1">IFERROR(IF(LEN(중요_시점[[#This Row],[요일]])=0,"",IF(AND(K$7=$E21,$F21=1),중요_시점_표식,"")),"")</f>
        <v/>
      </c>
      <c r="L21" s="26" t="str">
        <f ca="1">IFERROR(IF(LEN(중요_시점[[#This Row],[요일]])=0,"",IF(AND(L$7=$E21,$F21=1),중요_시점_표식,"")),"")</f>
        <v/>
      </c>
      <c r="M21" s="26" t="str">
        <f ca="1">IFERROR(IF(LEN(중요_시점[[#This Row],[요일]])=0,"",IF(AND(M$7=$E21,$F21=1),중요_시점_표식,"")),"")</f>
        <v/>
      </c>
      <c r="N21" s="26" t="str">
        <f ca="1">IFERROR(IF(LEN(중요_시점[[#This Row],[요일]])=0,"",IF(AND(N$7=$E21,$F21=1),중요_시점_표식,"")),"")</f>
        <v/>
      </c>
      <c r="O21" s="26" t="str">
        <f ca="1">IFERROR(IF(LEN(중요_시점[[#This Row],[요일]])=0,"",IF(AND(O$7=$E21,$F21=1),중요_시점_표식,"")),"")</f>
        <v/>
      </c>
      <c r="P21" s="26" t="str">
        <f ca="1">IFERROR(IF(LEN(중요_시점[[#This Row],[요일]])=0,"",IF(AND(P$7=$E21,$F21=1),중요_시점_표식,"")),"")</f>
        <v/>
      </c>
      <c r="Q21" s="26" t="str">
        <f ca="1">IFERROR(IF(LEN(중요_시점[[#This Row],[요일]])=0,"",IF(AND(Q$7=$E21,$F21=1),중요_시점_표식,"")),"")</f>
        <v/>
      </c>
      <c r="R21" s="26" t="str">
        <f ca="1">IFERROR(IF(LEN(중요_시점[[#This Row],[요일]])=0,"",IF(AND(R$7=$E21,$F21=1),중요_시점_표식,"")),"")</f>
        <v/>
      </c>
      <c r="S21" s="26" t="str">
        <f ca="1">IFERROR(IF(LEN(중요_시점[[#This Row],[요일]])=0,"",IF(AND(S$7=$E21,$F21=1),중요_시점_표식,"")),"")</f>
        <v/>
      </c>
      <c r="T21" s="26" t="str">
        <f ca="1">IFERROR(IF(LEN(중요_시점[[#This Row],[요일]])=0,"",IF(AND(T$7=$E21,$F21=1),중요_시점_표식,"")),"")</f>
        <v/>
      </c>
      <c r="U21" s="26" t="str">
        <f ca="1">IFERROR(IF(LEN(중요_시점[[#This Row],[요일]])=0,"",IF(AND(U$7=$E21,$F21=1),중요_시점_표식,"")),"")</f>
        <v/>
      </c>
      <c r="V21" s="26" t="str">
        <f ca="1">IFERROR(IF(LEN(중요_시점[[#This Row],[요일]])=0,"",IF(AND(V$7=$E21,$F21=1),중요_시점_표식,"")),"")</f>
        <v/>
      </c>
      <c r="W21" s="26" t="str">
        <f ca="1">IFERROR(IF(LEN(중요_시점[[#This Row],[요일]])=0,"",IF(AND(W$7=$E21,$F21=1),중요_시점_표식,"")),"")</f>
        <v/>
      </c>
      <c r="X21" s="26" t="str">
        <f ca="1">IFERROR(IF(LEN(중요_시점[[#This Row],[요일]])=0,"",IF(AND(X$7=$E21,$F21=1),중요_시점_표식,"")),"")</f>
        <v/>
      </c>
      <c r="Y21" s="26" t="str">
        <f ca="1">IFERROR(IF(LEN(중요_시점[[#This Row],[요일]])=0,"",IF(AND(Y$7=$E21,$F21=1),중요_시점_표식,"")),"")</f>
        <v/>
      </c>
      <c r="Z21" s="26" t="str">
        <f ca="1">IFERROR(IF(LEN(중요_시점[[#This Row],[요일]])=0,"",IF(AND(Z$7=$E21,$F21=1),중요_시점_표식,"")),"")</f>
        <v/>
      </c>
      <c r="AA21" s="26" t="str">
        <f ca="1">IFERROR(IF(LEN(중요_시점[[#This Row],[요일]])=0,"",IF(AND(AA$7=$E21,$F21=1),중요_시점_표식,"")),"")</f>
        <v/>
      </c>
      <c r="AB21" s="26" t="str">
        <f ca="1">IFERROR(IF(LEN(중요_시점[[#This Row],[요일]])=0,"",IF(AND(AB$7=$E21,$F21=1),중요_시점_표식,"")),"")</f>
        <v/>
      </c>
      <c r="AC21" s="26" t="str">
        <f ca="1">IFERROR(IF(LEN(중요_시점[[#This Row],[요일]])=0,"",IF(AND(AC$7=$E21,$F21=1),중요_시점_표식,"")),"")</f>
        <v/>
      </c>
      <c r="AD21" s="26" t="str">
        <f ca="1">IFERROR(IF(LEN(중요_시점[[#This Row],[요일]])=0,"",IF(AND(AD$7=$E21,$F21=1),중요_시점_표식,"")),"")</f>
        <v/>
      </c>
      <c r="AE21" s="26" t="str">
        <f ca="1">IFERROR(IF(LEN(중요_시점[[#This Row],[요일]])=0,"",IF(AND(AE$7=$E21,$F21=1),중요_시점_표식,"")),"")</f>
        <v/>
      </c>
      <c r="AF21" s="26" t="str">
        <f ca="1">IFERROR(IF(LEN(중요_시점[[#This Row],[요일]])=0,"",IF(AND(AF$7=$E21,$F21=1),중요_시점_표식,"")),"")</f>
        <v/>
      </c>
      <c r="AG21" s="26" t="str">
        <f ca="1">IFERROR(IF(LEN(중요_시점[[#This Row],[요일]])=0,"",IF(AND(AG$7=$E21,$F21=1),중요_시점_표식,"")),"")</f>
        <v/>
      </c>
      <c r="AH21" s="26" t="str">
        <f ca="1">IFERROR(IF(LEN(중요_시점[[#This Row],[요일]])=0,"",IF(AND(AH$7=$E21,$F21=1),중요_시점_표식,"")),"")</f>
        <v/>
      </c>
      <c r="AI21" s="26" t="str">
        <f ca="1">IFERROR(IF(LEN(중요_시점[[#This Row],[요일]])=0,"",IF(AND(AI$7=$E21,$F21=1),중요_시점_표식,"")),"")</f>
        <v/>
      </c>
      <c r="AJ21" s="26" t="str">
        <f ca="1">IFERROR(IF(LEN(중요_시점[[#This Row],[요일]])=0,"",IF(AND(AJ$7=$E21,$F21=1),중요_시점_표식,"")),"")</f>
        <v/>
      </c>
      <c r="AK21" s="26" t="str">
        <f ca="1">IFERROR(IF(LEN(중요_시점[[#This Row],[요일]])=0,"",IF(AND(AK$7=$E21,$F21=1),중요_시점_표식,"")),"")</f>
        <v/>
      </c>
      <c r="AL21" s="26" t="str">
        <f ca="1">IFERROR(IF(LEN(중요_시점[[#This Row],[요일]])=0,"",IF(AND(AL$7=$E21,$F21=1),중요_시점_표식,"")),"")</f>
        <v/>
      </c>
      <c r="AM21" s="26" t="str">
        <f ca="1">IFERROR(IF(LEN(중요_시점[[#This Row],[요일]])=0,"",IF(AND(AM$7=$E21,$F21=1),중요_시점_표식,"")),"")</f>
        <v/>
      </c>
      <c r="AN21" s="26" t="str">
        <f ca="1">IFERROR(IF(LEN(중요_시점[[#This Row],[요일]])=0,"",IF(AND(AN$7=$E21,$F21=1),중요_시점_표식,"")),"")</f>
        <v/>
      </c>
      <c r="AO21" s="26" t="str">
        <f ca="1">IFERROR(IF(LEN(중요_시점[[#This Row],[요일]])=0,"",IF(AND(AO$7=$E21,$F21=1),중요_시점_표식,"")),"")</f>
        <v/>
      </c>
      <c r="AP21" s="26" t="str">
        <f ca="1">IFERROR(IF(LEN(중요_시점[[#This Row],[요일]])=0,"",IF(AND(AP$7=$E21,$F21=1),중요_시점_표식,"")),"")</f>
        <v/>
      </c>
      <c r="AQ21" s="26" t="str">
        <f ca="1">IFERROR(IF(LEN(중요_시점[[#This Row],[요일]])=0,"",IF(AND(AQ$7=$E21,$F21=1),중요_시점_표식,"")),"")</f>
        <v/>
      </c>
      <c r="AR21" s="26" t="str">
        <f ca="1">IFERROR(IF(LEN(중요_시점[[#This Row],[요일]])=0,"",IF(AND(AR$7=$E21,$F21=1),중요_시점_표식,"")),"")</f>
        <v/>
      </c>
      <c r="AS21" s="26" t="str">
        <f ca="1">IFERROR(IF(LEN(중요_시점[[#This Row],[요일]])=0,"",IF(AND(AS$7=$E21,$F21=1),중요_시점_표식,"")),"")</f>
        <v/>
      </c>
      <c r="AT21" s="26" t="str">
        <f ca="1">IFERROR(IF(LEN(중요_시점[[#This Row],[요일]])=0,"",IF(AND(AT$7=$E21,$F21=1),중요_시점_표식,"")),"")</f>
        <v/>
      </c>
      <c r="AU21" s="26" t="str">
        <f ca="1">IFERROR(IF(LEN(중요_시점[[#This Row],[요일]])=0,"",IF(AND(AU$7=$E21,$F21=1),중요_시점_표식,"")),"")</f>
        <v/>
      </c>
      <c r="AV21" s="26" t="str">
        <f ca="1">IFERROR(IF(LEN(중요_시점[[#This Row],[요일]])=0,"",IF(AND(AV$7=$E21,$F21=1),중요_시점_표식,"")),"")</f>
        <v/>
      </c>
      <c r="AW21" s="26" t="str">
        <f ca="1">IFERROR(IF(LEN(중요_시점[[#This Row],[요일]])=0,"",IF(AND(AW$7=$E21,$F21=1),중요_시점_표식,"")),"")</f>
        <v/>
      </c>
      <c r="AX21" s="26" t="str">
        <f ca="1">IFERROR(IF(LEN(중요_시점[[#This Row],[요일]])=0,"",IF(AND(AX$7=$E21,$F21=1),중요_시점_표식,"")),"")</f>
        <v/>
      </c>
      <c r="AY21" s="26" t="str">
        <f ca="1">IFERROR(IF(LEN(중요_시점[[#This Row],[요일]])=0,"",IF(AND(AY$7=$E21,$F21=1),중요_시점_표식,"")),"")</f>
        <v/>
      </c>
      <c r="AZ21" s="26" t="str">
        <f ca="1">IFERROR(IF(LEN(중요_시점[[#This Row],[요일]])=0,"",IF(AND(AZ$7=$E21,$F21=1),중요_시점_표식,"")),"")</f>
        <v/>
      </c>
      <c r="BA21" s="26" t="str">
        <f ca="1">IFERROR(IF(LEN(중요_시점[[#This Row],[요일]])=0,"",IF(AND(BA$7=$E21,$F21=1),중요_시점_표식,"")),"")</f>
        <v/>
      </c>
      <c r="BB21" s="26" t="str">
        <f ca="1">IFERROR(IF(LEN(중요_시점[[#This Row],[요일]])=0,"",IF(AND(BB$7=$E21,$F21=1),중요_시점_표식,"")),"")</f>
        <v/>
      </c>
      <c r="BC21" s="26" t="str">
        <f ca="1">IFERROR(IF(LEN(중요_시점[[#This Row],[요일]])=0,"",IF(AND(BC$7=$E21,$F21=1),중요_시점_표식,"")),"")</f>
        <v/>
      </c>
      <c r="BD21" s="26" t="str">
        <f ca="1">IFERROR(IF(LEN(중요_시점[[#This Row],[요일]])=0,"",IF(AND(BD$7=$E21,$F21=1),중요_시점_표식,"")),"")</f>
        <v/>
      </c>
      <c r="BE21" s="26" t="str">
        <f ca="1">IFERROR(IF(LEN(중요_시점[[#This Row],[요일]])=0,"",IF(AND(BE$7=$E21,$F21=1),중요_시점_표식,"")),"")</f>
        <v/>
      </c>
      <c r="BF21" s="26" t="str">
        <f ca="1">IFERROR(IF(LEN(중요_시점[[#This Row],[요일]])=0,"",IF(AND(BF$7=$E21,$F21=1),중요_시점_표식,"")),"")</f>
        <v/>
      </c>
      <c r="BG21" s="26" t="str">
        <f ca="1">IFERROR(IF(LEN(중요_시점[[#This Row],[요일]])=0,"",IF(AND(BG$7=$E21,$F21=1),중요_시점_표식,"")),"")</f>
        <v/>
      </c>
      <c r="BH21" s="26" t="str">
        <f ca="1">IFERROR(IF(LEN(중요_시점[[#This Row],[요일]])=0,"",IF(AND(BH$7=$E21,$F21=1),중요_시점_표식,"")),"")</f>
        <v/>
      </c>
      <c r="BI21" s="26" t="str">
        <f ca="1">IFERROR(IF(LEN(중요_시점[[#This Row],[요일]])=0,"",IF(AND(BI$7=$E21,$F21=1),중요_시점_표식,"")),"")</f>
        <v/>
      </c>
      <c r="BJ21" s="26" t="str">
        <f ca="1">IFERROR(IF(LEN(중요_시점[[#This Row],[요일]])=0,"",IF(AND(BJ$7=$E21,$F21=1),중요_시점_표식,"")),"")</f>
        <v/>
      </c>
      <c r="BK21" s="26" t="str">
        <f ca="1">IFERROR(IF(LEN(중요_시점[[#This Row],[요일]])=0,"",IF(AND(BK$7=$E21,$F21=1),중요_시점_표식,"")),"")</f>
        <v/>
      </c>
    </row>
    <row r="22" spans="1:63" s="1" customFormat="1" ht="30" customHeight="1">
      <c r="A22" s="5"/>
      <c r="B22" s="40" t="s">
        <v>16</v>
      </c>
      <c r="C22" s="13"/>
      <c r="D22" s="43"/>
      <c r="E22" s="42"/>
      <c r="F22" s="12"/>
      <c r="G22" s="27"/>
      <c r="H22" s="26" t="str">
        <f>IFERROR(IF(LEN(중요_시점[[#This Row],[요일]])=0,"",IF(AND(H$7=$E22,$F22=1),중요_시점_표식,"")),"")</f>
        <v/>
      </c>
      <c r="I22" s="26" t="str">
        <f>IFERROR(IF(LEN(중요_시점[[#This Row],[요일]])=0,"",IF(AND(I$7=$E22,$F22=1),중요_시점_표식,"")),"")</f>
        <v/>
      </c>
      <c r="J22" s="26" t="str">
        <f>IFERROR(IF(LEN(중요_시점[[#This Row],[요일]])=0,"",IF(AND(J$7=$E22,$F22=1),중요_시점_표식,"")),"")</f>
        <v/>
      </c>
      <c r="K22" s="26" t="str">
        <f>IFERROR(IF(LEN(중요_시점[[#This Row],[요일]])=0,"",IF(AND(K$7=$E22,$F22=1),중요_시점_표식,"")),"")</f>
        <v/>
      </c>
      <c r="L22" s="26" t="str">
        <f>IFERROR(IF(LEN(중요_시점[[#This Row],[요일]])=0,"",IF(AND(L$7=$E22,$F22=1),중요_시점_표식,"")),"")</f>
        <v/>
      </c>
      <c r="M22" s="26" t="str">
        <f>IFERROR(IF(LEN(중요_시점[[#This Row],[요일]])=0,"",IF(AND(M$7=$E22,$F22=1),중요_시점_표식,"")),"")</f>
        <v/>
      </c>
      <c r="N22" s="26" t="str">
        <f>IFERROR(IF(LEN(중요_시점[[#This Row],[요일]])=0,"",IF(AND(N$7=$E22,$F22=1),중요_시점_표식,"")),"")</f>
        <v/>
      </c>
      <c r="O22" s="26" t="str">
        <f>IFERROR(IF(LEN(중요_시점[[#This Row],[요일]])=0,"",IF(AND(O$7=$E22,$F22=1),중요_시점_표식,"")),"")</f>
        <v/>
      </c>
      <c r="P22" s="26" t="str">
        <f>IFERROR(IF(LEN(중요_시점[[#This Row],[요일]])=0,"",IF(AND(P$7=$E22,$F22=1),중요_시점_표식,"")),"")</f>
        <v/>
      </c>
      <c r="Q22" s="26" t="str">
        <f>IFERROR(IF(LEN(중요_시점[[#This Row],[요일]])=0,"",IF(AND(Q$7=$E22,$F22=1),중요_시점_표식,"")),"")</f>
        <v/>
      </c>
      <c r="R22" s="26" t="str">
        <f>IFERROR(IF(LEN(중요_시점[[#This Row],[요일]])=0,"",IF(AND(R$7=$E22,$F22=1),중요_시점_표식,"")),"")</f>
        <v/>
      </c>
      <c r="S22" s="26" t="str">
        <f>IFERROR(IF(LEN(중요_시점[[#This Row],[요일]])=0,"",IF(AND(S$7=$E22,$F22=1),중요_시점_표식,"")),"")</f>
        <v/>
      </c>
      <c r="T22" s="26" t="str">
        <f>IFERROR(IF(LEN(중요_시점[[#This Row],[요일]])=0,"",IF(AND(T$7=$E22,$F22=1),중요_시점_표식,"")),"")</f>
        <v/>
      </c>
      <c r="U22" s="26" t="str">
        <f>IFERROR(IF(LEN(중요_시점[[#This Row],[요일]])=0,"",IF(AND(U$7=$E22,$F22=1),중요_시점_표식,"")),"")</f>
        <v/>
      </c>
      <c r="V22" s="26" t="str">
        <f>IFERROR(IF(LEN(중요_시점[[#This Row],[요일]])=0,"",IF(AND(V$7=$E22,$F22=1),중요_시점_표식,"")),"")</f>
        <v/>
      </c>
      <c r="W22" s="26" t="str">
        <f>IFERROR(IF(LEN(중요_시점[[#This Row],[요일]])=0,"",IF(AND(W$7=$E22,$F22=1),중요_시점_표식,"")),"")</f>
        <v/>
      </c>
      <c r="X22" s="26" t="str">
        <f>IFERROR(IF(LEN(중요_시점[[#This Row],[요일]])=0,"",IF(AND(X$7=$E22,$F22=1),중요_시점_표식,"")),"")</f>
        <v/>
      </c>
      <c r="Y22" s="26" t="str">
        <f>IFERROR(IF(LEN(중요_시점[[#This Row],[요일]])=0,"",IF(AND(Y$7=$E22,$F22=1),중요_시점_표식,"")),"")</f>
        <v/>
      </c>
      <c r="Z22" s="26" t="str">
        <f>IFERROR(IF(LEN(중요_시점[[#This Row],[요일]])=0,"",IF(AND(Z$7=$E22,$F22=1),중요_시점_표식,"")),"")</f>
        <v/>
      </c>
      <c r="AA22" s="26" t="str">
        <f>IFERROR(IF(LEN(중요_시점[[#This Row],[요일]])=0,"",IF(AND(AA$7=$E22,$F22=1),중요_시점_표식,"")),"")</f>
        <v/>
      </c>
      <c r="AB22" s="26" t="str">
        <f>IFERROR(IF(LEN(중요_시점[[#This Row],[요일]])=0,"",IF(AND(AB$7=$E22,$F22=1),중요_시점_표식,"")),"")</f>
        <v/>
      </c>
      <c r="AC22" s="26" t="str">
        <f>IFERROR(IF(LEN(중요_시점[[#This Row],[요일]])=0,"",IF(AND(AC$7=$E22,$F22=1),중요_시점_표식,"")),"")</f>
        <v/>
      </c>
      <c r="AD22" s="26" t="str">
        <f>IFERROR(IF(LEN(중요_시점[[#This Row],[요일]])=0,"",IF(AND(AD$7=$E22,$F22=1),중요_시점_표식,"")),"")</f>
        <v/>
      </c>
      <c r="AE22" s="26" t="str">
        <f>IFERROR(IF(LEN(중요_시점[[#This Row],[요일]])=0,"",IF(AND(AE$7=$E22,$F22=1),중요_시점_표식,"")),"")</f>
        <v/>
      </c>
      <c r="AF22" s="26" t="str">
        <f>IFERROR(IF(LEN(중요_시점[[#This Row],[요일]])=0,"",IF(AND(AF$7=$E22,$F22=1),중요_시점_표식,"")),"")</f>
        <v/>
      </c>
      <c r="AG22" s="26" t="str">
        <f>IFERROR(IF(LEN(중요_시점[[#This Row],[요일]])=0,"",IF(AND(AG$7=$E22,$F22=1),중요_시점_표식,"")),"")</f>
        <v/>
      </c>
      <c r="AH22" s="26" t="str">
        <f>IFERROR(IF(LEN(중요_시점[[#This Row],[요일]])=0,"",IF(AND(AH$7=$E22,$F22=1),중요_시점_표식,"")),"")</f>
        <v/>
      </c>
      <c r="AI22" s="26" t="str">
        <f>IFERROR(IF(LEN(중요_시점[[#This Row],[요일]])=0,"",IF(AND(AI$7=$E22,$F22=1),중요_시점_표식,"")),"")</f>
        <v/>
      </c>
      <c r="AJ22" s="26" t="str">
        <f>IFERROR(IF(LEN(중요_시점[[#This Row],[요일]])=0,"",IF(AND(AJ$7=$E22,$F22=1),중요_시점_표식,"")),"")</f>
        <v/>
      </c>
      <c r="AK22" s="26" t="str">
        <f>IFERROR(IF(LEN(중요_시점[[#This Row],[요일]])=0,"",IF(AND(AK$7=$E22,$F22=1),중요_시점_표식,"")),"")</f>
        <v/>
      </c>
      <c r="AL22" s="26" t="str">
        <f>IFERROR(IF(LEN(중요_시점[[#This Row],[요일]])=0,"",IF(AND(AL$7=$E22,$F22=1),중요_시점_표식,"")),"")</f>
        <v/>
      </c>
      <c r="AM22" s="26" t="str">
        <f>IFERROR(IF(LEN(중요_시점[[#This Row],[요일]])=0,"",IF(AND(AM$7=$E22,$F22=1),중요_시점_표식,"")),"")</f>
        <v/>
      </c>
      <c r="AN22" s="26" t="str">
        <f>IFERROR(IF(LEN(중요_시점[[#This Row],[요일]])=0,"",IF(AND(AN$7=$E22,$F22=1),중요_시점_표식,"")),"")</f>
        <v/>
      </c>
      <c r="AO22" s="26" t="str">
        <f>IFERROR(IF(LEN(중요_시점[[#This Row],[요일]])=0,"",IF(AND(AO$7=$E22,$F22=1),중요_시점_표식,"")),"")</f>
        <v/>
      </c>
      <c r="AP22" s="26" t="str">
        <f>IFERROR(IF(LEN(중요_시점[[#This Row],[요일]])=0,"",IF(AND(AP$7=$E22,$F22=1),중요_시점_표식,"")),"")</f>
        <v/>
      </c>
      <c r="AQ22" s="26" t="str">
        <f>IFERROR(IF(LEN(중요_시점[[#This Row],[요일]])=0,"",IF(AND(AQ$7=$E22,$F22=1),중요_시점_표식,"")),"")</f>
        <v/>
      </c>
      <c r="AR22" s="26" t="str">
        <f>IFERROR(IF(LEN(중요_시점[[#This Row],[요일]])=0,"",IF(AND(AR$7=$E22,$F22=1),중요_시점_표식,"")),"")</f>
        <v/>
      </c>
      <c r="AS22" s="26" t="str">
        <f>IFERROR(IF(LEN(중요_시점[[#This Row],[요일]])=0,"",IF(AND(AS$7=$E22,$F22=1),중요_시점_표식,"")),"")</f>
        <v/>
      </c>
      <c r="AT22" s="26" t="str">
        <f>IFERROR(IF(LEN(중요_시점[[#This Row],[요일]])=0,"",IF(AND(AT$7=$E22,$F22=1),중요_시점_표식,"")),"")</f>
        <v/>
      </c>
      <c r="AU22" s="26" t="str">
        <f>IFERROR(IF(LEN(중요_시점[[#This Row],[요일]])=0,"",IF(AND(AU$7=$E22,$F22=1),중요_시점_표식,"")),"")</f>
        <v/>
      </c>
      <c r="AV22" s="26" t="str">
        <f>IFERROR(IF(LEN(중요_시점[[#This Row],[요일]])=0,"",IF(AND(AV$7=$E22,$F22=1),중요_시점_표식,"")),"")</f>
        <v/>
      </c>
      <c r="AW22" s="26" t="str">
        <f>IFERROR(IF(LEN(중요_시점[[#This Row],[요일]])=0,"",IF(AND(AW$7=$E22,$F22=1),중요_시점_표식,"")),"")</f>
        <v/>
      </c>
      <c r="AX22" s="26" t="str">
        <f>IFERROR(IF(LEN(중요_시점[[#This Row],[요일]])=0,"",IF(AND(AX$7=$E22,$F22=1),중요_시점_표식,"")),"")</f>
        <v/>
      </c>
      <c r="AY22" s="26" t="str">
        <f>IFERROR(IF(LEN(중요_시점[[#This Row],[요일]])=0,"",IF(AND(AY$7=$E22,$F22=1),중요_시점_표식,"")),"")</f>
        <v/>
      </c>
      <c r="AZ22" s="26" t="str">
        <f>IFERROR(IF(LEN(중요_시점[[#This Row],[요일]])=0,"",IF(AND(AZ$7=$E22,$F22=1),중요_시점_표식,"")),"")</f>
        <v/>
      </c>
      <c r="BA22" s="26" t="str">
        <f>IFERROR(IF(LEN(중요_시점[[#This Row],[요일]])=0,"",IF(AND(BA$7=$E22,$F22=1),중요_시점_표식,"")),"")</f>
        <v/>
      </c>
      <c r="BB22" s="26" t="str">
        <f>IFERROR(IF(LEN(중요_시점[[#This Row],[요일]])=0,"",IF(AND(BB$7=$E22,$F22=1),중요_시점_표식,"")),"")</f>
        <v/>
      </c>
      <c r="BC22" s="26" t="str">
        <f>IFERROR(IF(LEN(중요_시점[[#This Row],[요일]])=0,"",IF(AND(BC$7=$E22,$F22=1),중요_시점_표식,"")),"")</f>
        <v/>
      </c>
      <c r="BD22" s="26" t="str">
        <f>IFERROR(IF(LEN(중요_시점[[#This Row],[요일]])=0,"",IF(AND(BD$7=$E22,$F22=1),중요_시점_표식,"")),"")</f>
        <v/>
      </c>
      <c r="BE22" s="26" t="str">
        <f>IFERROR(IF(LEN(중요_시점[[#This Row],[요일]])=0,"",IF(AND(BE$7=$E22,$F22=1),중요_시점_표식,"")),"")</f>
        <v/>
      </c>
      <c r="BF22" s="26" t="str">
        <f>IFERROR(IF(LEN(중요_시점[[#This Row],[요일]])=0,"",IF(AND(BF$7=$E22,$F22=1),중요_시점_표식,"")),"")</f>
        <v/>
      </c>
      <c r="BG22" s="26" t="str">
        <f>IFERROR(IF(LEN(중요_시점[[#This Row],[요일]])=0,"",IF(AND(BG$7=$E22,$F22=1),중요_시점_표식,"")),"")</f>
        <v/>
      </c>
      <c r="BH22" s="26" t="str">
        <f>IFERROR(IF(LEN(중요_시점[[#This Row],[요일]])=0,"",IF(AND(BH$7=$E22,$F22=1),중요_시점_표식,"")),"")</f>
        <v/>
      </c>
      <c r="BI22" s="26" t="str">
        <f>IFERROR(IF(LEN(중요_시점[[#This Row],[요일]])=0,"",IF(AND(BI$7=$E22,$F22=1),중요_시점_표식,"")),"")</f>
        <v/>
      </c>
      <c r="BJ22" s="26" t="str">
        <f>IFERROR(IF(LEN(중요_시점[[#This Row],[요일]])=0,"",IF(AND(BJ$7=$E22,$F22=1),중요_시점_표식,"")),"")</f>
        <v/>
      </c>
      <c r="BK22" s="26" t="str">
        <f>IFERROR(IF(LEN(중요_시점[[#This Row],[요일]])=0,"",IF(AND(BK$7=$E22,$F22=1),중요_시점_표식,"")),"")</f>
        <v/>
      </c>
    </row>
    <row r="23" spans="1:63" s="1" customFormat="1" ht="30" customHeight="1" outlineLevel="1">
      <c r="A23" s="5"/>
      <c r="B23" s="49" t="s">
        <v>10</v>
      </c>
      <c r="C23" s="13"/>
      <c r="D23" s="43"/>
      <c r="E23" s="42">
        <f ca="1">TODAY()+15</f>
        <v>44603</v>
      </c>
      <c r="F23" s="12">
        <v>4</v>
      </c>
      <c r="G23" s="27"/>
      <c r="H23" s="26" t="str">
        <f ca="1">IFERROR(IF(LEN(중요_시점[[#This Row],[요일]])=0,"",IF(AND(H$7=$E23,$F23=1),중요_시점_표식,"")),"")</f>
        <v/>
      </c>
      <c r="I23" s="26" t="str">
        <f ca="1">IFERROR(IF(LEN(중요_시점[[#This Row],[요일]])=0,"",IF(AND(I$7=$E23,$F23=1),중요_시점_표식,"")),"")</f>
        <v/>
      </c>
      <c r="J23" s="26" t="str">
        <f ca="1">IFERROR(IF(LEN(중요_시점[[#This Row],[요일]])=0,"",IF(AND(J$7=$E23,$F23=1),중요_시점_표식,"")),"")</f>
        <v/>
      </c>
      <c r="K23" s="26" t="str">
        <f ca="1">IFERROR(IF(LEN(중요_시점[[#This Row],[요일]])=0,"",IF(AND(K$7=$E23,$F23=1),중요_시점_표식,"")),"")</f>
        <v/>
      </c>
      <c r="L23" s="26" t="str">
        <f ca="1">IFERROR(IF(LEN(중요_시점[[#This Row],[요일]])=0,"",IF(AND(L$7=$E23,$F23=1),중요_시점_표식,"")),"")</f>
        <v/>
      </c>
      <c r="M23" s="26" t="str">
        <f ca="1">IFERROR(IF(LEN(중요_시점[[#This Row],[요일]])=0,"",IF(AND(M$7=$E23,$F23=1),중요_시점_표식,"")),"")</f>
        <v/>
      </c>
      <c r="N23" s="26" t="str">
        <f ca="1">IFERROR(IF(LEN(중요_시점[[#This Row],[요일]])=0,"",IF(AND(N$7=$E23,$F23=1),중요_시점_표식,"")),"")</f>
        <v/>
      </c>
      <c r="O23" s="26" t="str">
        <f ca="1">IFERROR(IF(LEN(중요_시점[[#This Row],[요일]])=0,"",IF(AND(O$7=$E23,$F23=1),중요_시점_표식,"")),"")</f>
        <v/>
      </c>
      <c r="P23" s="26" t="str">
        <f ca="1">IFERROR(IF(LEN(중요_시점[[#This Row],[요일]])=0,"",IF(AND(P$7=$E23,$F23=1),중요_시점_표식,"")),"")</f>
        <v/>
      </c>
      <c r="Q23" s="26" t="str">
        <f ca="1">IFERROR(IF(LEN(중요_시점[[#This Row],[요일]])=0,"",IF(AND(Q$7=$E23,$F23=1),중요_시점_표식,"")),"")</f>
        <v/>
      </c>
      <c r="R23" s="26" t="str">
        <f ca="1">IFERROR(IF(LEN(중요_시점[[#This Row],[요일]])=0,"",IF(AND(R$7=$E23,$F23=1),중요_시점_표식,"")),"")</f>
        <v/>
      </c>
      <c r="S23" s="26" t="str">
        <f ca="1">IFERROR(IF(LEN(중요_시점[[#This Row],[요일]])=0,"",IF(AND(S$7=$E23,$F23=1),중요_시점_표식,"")),"")</f>
        <v/>
      </c>
      <c r="T23" s="26" t="str">
        <f ca="1">IFERROR(IF(LEN(중요_시점[[#This Row],[요일]])=0,"",IF(AND(T$7=$E23,$F23=1),중요_시점_표식,"")),"")</f>
        <v/>
      </c>
      <c r="U23" s="26" t="str">
        <f ca="1">IFERROR(IF(LEN(중요_시점[[#This Row],[요일]])=0,"",IF(AND(U$7=$E23,$F23=1),중요_시점_표식,"")),"")</f>
        <v/>
      </c>
      <c r="V23" s="26" t="str">
        <f ca="1">IFERROR(IF(LEN(중요_시점[[#This Row],[요일]])=0,"",IF(AND(V$7=$E23,$F23=1),중요_시점_표식,"")),"")</f>
        <v/>
      </c>
      <c r="W23" s="26" t="str">
        <f ca="1">IFERROR(IF(LEN(중요_시점[[#This Row],[요일]])=0,"",IF(AND(W$7=$E23,$F23=1),중요_시점_표식,"")),"")</f>
        <v/>
      </c>
      <c r="X23" s="26" t="str">
        <f ca="1">IFERROR(IF(LEN(중요_시점[[#This Row],[요일]])=0,"",IF(AND(X$7=$E23,$F23=1),중요_시점_표식,"")),"")</f>
        <v/>
      </c>
      <c r="Y23" s="26" t="str">
        <f ca="1">IFERROR(IF(LEN(중요_시점[[#This Row],[요일]])=0,"",IF(AND(Y$7=$E23,$F23=1),중요_시점_표식,"")),"")</f>
        <v/>
      </c>
      <c r="Z23" s="26" t="str">
        <f ca="1">IFERROR(IF(LEN(중요_시점[[#This Row],[요일]])=0,"",IF(AND(Z$7=$E23,$F23=1),중요_시점_표식,"")),"")</f>
        <v/>
      </c>
      <c r="AA23" s="26" t="str">
        <f ca="1">IFERROR(IF(LEN(중요_시점[[#This Row],[요일]])=0,"",IF(AND(AA$7=$E23,$F23=1),중요_시점_표식,"")),"")</f>
        <v/>
      </c>
      <c r="AB23" s="26" t="str">
        <f ca="1">IFERROR(IF(LEN(중요_시점[[#This Row],[요일]])=0,"",IF(AND(AB$7=$E23,$F23=1),중요_시점_표식,"")),"")</f>
        <v/>
      </c>
      <c r="AC23" s="26" t="str">
        <f ca="1">IFERROR(IF(LEN(중요_시점[[#This Row],[요일]])=0,"",IF(AND(AC$7=$E23,$F23=1),중요_시점_표식,"")),"")</f>
        <v/>
      </c>
      <c r="AD23" s="26" t="str">
        <f ca="1">IFERROR(IF(LEN(중요_시점[[#This Row],[요일]])=0,"",IF(AND(AD$7=$E23,$F23=1),중요_시점_표식,"")),"")</f>
        <v/>
      </c>
      <c r="AE23" s="26" t="str">
        <f ca="1">IFERROR(IF(LEN(중요_시점[[#This Row],[요일]])=0,"",IF(AND(AE$7=$E23,$F23=1),중요_시점_표식,"")),"")</f>
        <v/>
      </c>
      <c r="AF23" s="26" t="str">
        <f ca="1">IFERROR(IF(LEN(중요_시점[[#This Row],[요일]])=0,"",IF(AND(AF$7=$E23,$F23=1),중요_시점_표식,"")),"")</f>
        <v/>
      </c>
      <c r="AG23" s="26" t="str">
        <f ca="1">IFERROR(IF(LEN(중요_시점[[#This Row],[요일]])=0,"",IF(AND(AG$7=$E23,$F23=1),중요_시점_표식,"")),"")</f>
        <v/>
      </c>
      <c r="AH23" s="26" t="str">
        <f ca="1">IFERROR(IF(LEN(중요_시점[[#This Row],[요일]])=0,"",IF(AND(AH$7=$E23,$F23=1),중요_시점_표식,"")),"")</f>
        <v/>
      </c>
      <c r="AI23" s="26" t="str">
        <f ca="1">IFERROR(IF(LEN(중요_시점[[#This Row],[요일]])=0,"",IF(AND(AI$7=$E23,$F23=1),중요_시점_표식,"")),"")</f>
        <v/>
      </c>
      <c r="AJ23" s="26" t="str">
        <f ca="1">IFERROR(IF(LEN(중요_시점[[#This Row],[요일]])=0,"",IF(AND(AJ$7=$E23,$F23=1),중요_시점_표식,"")),"")</f>
        <v/>
      </c>
      <c r="AK23" s="26" t="str">
        <f ca="1">IFERROR(IF(LEN(중요_시점[[#This Row],[요일]])=0,"",IF(AND(AK$7=$E23,$F23=1),중요_시점_표식,"")),"")</f>
        <v/>
      </c>
      <c r="AL23" s="26" t="str">
        <f ca="1">IFERROR(IF(LEN(중요_시점[[#This Row],[요일]])=0,"",IF(AND(AL$7=$E23,$F23=1),중요_시점_표식,"")),"")</f>
        <v/>
      </c>
      <c r="AM23" s="26" t="str">
        <f ca="1">IFERROR(IF(LEN(중요_시점[[#This Row],[요일]])=0,"",IF(AND(AM$7=$E23,$F23=1),중요_시점_표식,"")),"")</f>
        <v/>
      </c>
      <c r="AN23" s="26" t="str">
        <f ca="1">IFERROR(IF(LEN(중요_시점[[#This Row],[요일]])=0,"",IF(AND(AN$7=$E23,$F23=1),중요_시점_표식,"")),"")</f>
        <v/>
      </c>
      <c r="AO23" s="26" t="str">
        <f ca="1">IFERROR(IF(LEN(중요_시점[[#This Row],[요일]])=0,"",IF(AND(AO$7=$E23,$F23=1),중요_시점_표식,"")),"")</f>
        <v/>
      </c>
      <c r="AP23" s="26" t="str">
        <f ca="1">IFERROR(IF(LEN(중요_시점[[#This Row],[요일]])=0,"",IF(AND(AP$7=$E23,$F23=1),중요_시점_표식,"")),"")</f>
        <v/>
      </c>
      <c r="AQ23" s="26" t="str">
        <f ca="1">IFERROR(IF(LEN(중요_시점[[#This Row],[요일]])=0,"",IF(AND(AQ$7=$E23,$F23=1),중요_시점_표식,"")),"")</f>
        <v/>
      </c>
      <c r="AR23" s="26" t="str">
        <f ca="1">IFERROR(IF(LEN(중요_시점[[#This Row],[요일]])=0,"",IF(AND(AR$7=$E23,$F23=1),중요_시점_표식,"")),"")</f>
        <v/>
      </c>
      <c r="AS23" s="26" t="str">
        <f ca="1">IFERROR(IF(LEN(중요_시점[[#This Row],[요일]])=0,"",IF(AND(AS$7=$E23,$F23=1),중요_시점_표식,"")),"")</f>
        <v/>
      </c>
      <c r="AT23" s="26" t="str">
        <f ca="1">IFERROR(IF(LEN(중요_시점[[#This Row],[요일]])=0,"",IF(AND(AT$7=$E23,$F23=1),중요_시점_표식,"")),"")</f>
        <v/>
      </c>
      <c r="AU23" s="26" t="str">
        <f ca="1">IFERROR(IF(LEN(중요_시점[[#This Row],[요일]])=0,"",IF(AND(AU$7=$E23,$F23=1),중요_시점_표식,"")),"")</f>
        <v/>
      </c>
      <c r="AV23" s="26" t="str">
        <f ca="1">IFERROR(IF(LEN(중요_시점[[#This Row],[요일]])=0,"",IF(AND(AV$7=$E23,$F23=1),중요_시점_표식,"")),"")</f>
        <v/>
      </c>
      <c r="AW23" s="26" t="str">
        <f ca="1">IFERROR(IF(LEN(중요_시점[[#This Row],[요일]])=0,"",IF(AND(AW$7=$E23,$F23=1),중요_시점_표식,"")),"")</f>
        <v/>
      </c>
      <c r="AX23" s="26" t="str">
        <f ca="1">IFERROR(IF(LEN(중요_시점[[#This Row],[요일]])=0,"",IF(AND(AX$7=$E23,$F23=1),중요_시점_표식,"")),"")</f>
        <v/>
      </c>
      <c r="AY23" s="26" t="str">
        <f ca="1">IFERROR(IF(LEN(중요_시점[[#This Row],[요일]])=0,"",IF(AND(AY$7=$E23,$F23=1),중요_시점_표식,"")),"")</f>
        <v/>
      </c>
      <c r="AZ23" s="26" t="str">
        <f ca="1">IFERROR(IF(LEN(중요_시점[[#This Row],[요일]])=0,"",IF(AND(AZ$7=$E23,$F23=1),중요_시점_표식,"")),"")</f>
        <v/>
      </c>
      <c r="BA23" s="26" t="str">
        <f ca="1">IFERROR(IF(LEN(중요_시점[[#This Row],[요일]])=0,"",IF(AND(BA$7=$E23,$F23=1),중요_시점_표식,"")),"")</f>
        <v/>
      </c>
      <c r="BB23" s="26" t="str">
        <f ca="1">IFERROR(IF(LEN(중요_시점[[#This Row],[요일]])=0,"",IF(AND(BB$7=$E23,$F23=1),중요_시점_표식,"")),"")</f>
        <v/>
      </c>
      <c r="BC23" s="26" t="str">
        <f ca="1">IFERROR(IF(LEN(중요_시점[[#This Row],[요일]])=0,"",IF(AND(BC$7=$E23,$F23=1),중요_시점_표식,"")),"")</f>
        <v/>
      </c>
      <c r="BD23" s="26" t="str">
        <f ca="1">IFERROR(IF(LEN(중요_시점[[#This Row],[요일]])=0,"",IF(AND(BD$7=$E23,$F23=1),중요_시점_표식,"")),"")</f>
        <v/>
      </c>
      <c r="BE23" s="26" t="str">
        <f ca="1">IFERROR(IF(LEN(중요_시점[[#This Row],[요일]])=0,"",IF(AND(BE$7=$E23,$F23=1),중요_시점_표식,"")),"")</f>
        <v/>
      </c>
      <c r="BF23" s="26" t="str">
        <f ca="1">IFERROR(IF(LEN(중요_시점[[#This Row],[요일]])=0,"",IF(AND(BF$7=$E23,$F23=1),중요_시점_표식,"")),"")</f>
        <v/>
      </c>
      <c r="BG23" s="26" t="str">
        <f ca="1">IFERROR(IF(LEN(중요_시점[[#This Row],[요일]])=0,"",IF(AND(BG$7=$E23,$F23=1),중요_시점_표식,"")),"")</f>
        <v/>
      </c>
      <c r="BH23" s="26" t="str">
        <f ca="1">IFERROR(IF(LEN(중요_시점[[#This Row],[요일]])=0,"",IF(AND(BH$7=$E23,$F23=1),중요_시점_표식,"")),"")</f>
        <v/>
      </c>
      <c r="BI23" s="26" t="str">
        <f ca="1">IFERROR(IF(LEN(중요_시점[[#This Row],[요일]])=0,"",IF(AND(BI$7=$E23,$F23=1),중요_시점_표식,"")),"")</f>
        <v/>
      </c>
      <c r="BJ23" s="26" t="str">
        <f ca="1">IFERROR(IF(LEN(중요_시점[[#This Row],[요일]])=0,"",IF(AND(BJ$7=$E23,$F23=1),중요_시점_표식,"")),"")</f>
        <v/>
      </c>
      <c r="BK23" s="26" t="str">
        <f ca="1">IFERROR(IF(LEN(중요_시점[[#This Row],[요일]])=0,"",IF(AND(BK$7=$E23,$F23=1),중요_시점_표식,"")),"")</f>
        <v/>
      </c>
    </row>
    <row r="24" spans="1:63" s="1" customFormat="1" ht="30" customHeight="1" outlineLevel="1">
      <c r="A24" s="5"/>
      <c r="B24" s="49" t="s">
        <v>11</v>
      </c>
      <c r="C24" s="13"/>
      <c r="D24" s="43"/>
      <c r="E24" s="42">
        <f ca="1">TODAY()+19</f>
        <v>44607</v>
      </c>
      <c r="F24" s="12">
        <v>14</v>
      </c>
      <c r="G24" s="27"/>
      <c r="H24" s="26" t="str">
        <f ca="1">IFERROR(IF(LEN(중요_시점[[#This Row],[요일]])=0,"",IF(AND(H$7=$E24,$F24=1),중요_시점_표식,"")),"")</f>
        <v/>
      </c>
      <c r="I24" s="26" t="str">
        <f ca="1">IFERROR(IF(LEN(중요_시점[[#This Row],[요일]])=0,"",IF(AND(I$7=$E24,$F24=1),중요_시점_표식,"")),"")</f>
        <v/>
      </c>
      <c r="J24" s="26" t="str">
        <f ca="1">IFERROR(IF(LEN(중요_시점[[#This Row],[요일]])=0,"",IF(AND(J$7=$E24,$F24=1),중요_시점_표식,"")),"")</f>
        <v/>
      </c>
      <c r="K24" s="26" t="str">
        <f ca="1">IFERROR(IF(LEN(중요_시점[[#This Row],[요일]])=0,"",IF(AND(K$7=$E24,$F24=1),중요_시점_표식,"")),"")</f>
        <v/>
      </c>
      <c r="L24" s="26" t="str">
        <f ca="1">IFERROR(IF(LEN(중요_시점[[#This Row],[요일]])=0,"",IF(AND(L$7=$E24,$F24=1),중요_시점_표식,"")),"")</f>
        <v/>
      </c>
      <c r="M24" s="26" t="str">
        <f ca="1">IFERROR(IF(LEN(중요_시점[[#This Row],[요일]])=0,"",IF(AND(M$7=$E24,$F24=1),중요_시점_표식,"")),"")</f>
        <v/>
      </c>
      <c r="N24" s="26" t="str">
        <f ca="1">IFERROR(IF(LEN(중요_시점[[#This Row],[요일]])=0,"",IF(AND(N$7=$E24,$F24=1),중요_시점_표식,"")),"")</f>
        <v/>
      </c>
      <c r="O24" s="26" t="str">
        <f ca="1">IFERROR(IF(LEN(중요_시점[[#This Row],[요일]])=0,"",IF(AND(O$7=$E24,$F24=1),중요_시점_표식,"")),"")</f>
        <v/>
      </c>
      <c r="P24" s="26" t="str">
        <f ca="1">IFERROR(IF(LEN(중요_시점[[#This Row],[요일]])=0,"",IF(AND(P$7=$E24,$F24=1),중요_시점_표식,"")),"")</f>
        <v/>
      </c>
      <c r="Q24" s="26" t="str">
        <f ca="1">IFERROR(IF(LEN(중요_시점[[#This Row],[요일]])=0,"",IF(AND(Q$7=$E24,$F24=1),중요_시점_표식,"")),"")</f>
        <v/>
      </c>
      <c r="R24" s="26" t="str">
        <f ca="1">IFERROR(IF(LEN(중요_시점[[#This Row],[요일]])=0,"",IF(AND(R$7=$E24,$F24=1),중요_시점_표식,"")),"")</f>
        <v/>
      </c>
      <c r="S24" s="26" t="str">
        <f ca="1">IFERROR(IF(LEN(중요_시점[[#This Row],[요일]])=0,"",IF(AND(S$7=$E24,$F24=1),중요_시점_표식,"")),"")</f>
        <v/>
      </c>
      <c r="T24" s="26" t="str">
        <f ca="1">IFERROR(IF(LEN(중요_시점[[#This Row],[요일]])=0,"",IF(AND(T$7=$E24,$F24=1),중요_시점_표식,"")),"")</f>
        <v/>
      </c>
      <c r="U24" s="26" t="str">
        <f ca="1">IFERROR(IF(LEN(중요_시점[[#This Row],[요일]])=0,"",IF(AND(U$7=$E24,$F24=1),중요_시점_표식,"")),"")</f>
        <v/>
      </c>
      <c r="V24" s="26" t="str">
        <f ca="1">IFERROR(IF(LEN(중요_시점[[#This Row],[요일]])=0,"",IF(AND(V$7=$E24,$F24=1),중요_시점_표식,"")),"")</f>
        <v/>
      </c>
      <c r="W24" s="26" t="str">
        <f ca="1">IFERROR(IF(LEN(중요_시점[[#This Row],[요일]])=0,"",IF(AND(W$7=$E24,$F24=1),중요_시점_표식,"")),"")</f>
        <v/>
      </c>
      <c r="X24" s="26" t="str">
        <f ca="1">IFERROR(IF(LEN(중요_시점[[#This Row],[요일]])=0,"",IF(AND(X$7=$E24,$F24=1),중요_시점_표식,"")),"")</f>
        <v/>
      </c>
      <c r="Y24" s="26" t="str">
        <f ca="1">IFERROR(IF(LEN(중요_시점[[#This Row],[요일]])=0,"",IF(AND(Y$7=$E24,$F24=1),중요_시점_표식,"")),"")</f>
        <v/>
      </c>
      <c r="Z24" s="26" t="str">
        <f ca="1">IFERROR(IF(LEN(중요_시점[[#This Row],[요일]])=0,"",IF(AND(Z$7=$E24,$F24=1),중요_시점_표식,"")),"")</f>
        <v/>
      </c>
      <c r="AA24" s="26" t="str">
        <f ca="1">IFERROR(IF(LEN(중요_시점[[#This Row],[요일]])=0,"",IF(AND(AA$7=$E24,$F24=1),중요_시점_표식,"")),"")</f>
        <v/>
      </c>
      <c r="AB24" s="26" t="str">
        <f ca="1">IFERROR(IF(LEN(중요_시점[[#This Row],[요일]])=0,"",IF(AND(AB$7=$E24,$F24=1),중요_시점_표식,"")),"")</f>
        <v/>
      </c>
      <c r="AC24" s="26" t="str">
        <f ca="1">IFERROR(IF(LEN(중요_시점[[#This Row],[요일]])=0,"",IF(AND(AC$7=$E24,$F24=1),중요_시점_표식,"")),"")</f>
        <v/>
      </c>
      <c r="AD24" s="26" t="str">
        <f ca="1">IFERROR(IF(LEN(중요_시점[[#This Row],[요일]])=0,"",IF(AND(AD$7=$E24,$F24=1),중요_시점_표식,"")),"")</f>
        <v/>
      </c>
      <c r="AE24" s="26" t="str">
        <f ca="1">IFERROR(IF(LEN(중요_시점[[#This Row],[요일]])=0,"",IF(AND(AE$7=$E24,$F24=1),중요_시점_표식,"")),"")</f>
        <v/>
      </c>
      <c r="AF24" s="26" t="str">
        <f ca="1">IFERROR(IF(LEN(중요_시점[[#This Row],[요일]])=0,"",IF(AND(AF$7=$E24,$F24=1),중요_시점_표식,"")),"")</f>
        <v/>
      </c>
      <c r="AG24" s="26" t="str">
        <f ca="1">IFERROR(IF(LEN(중요_시점[[#This Row],[요일]])=0,"",IF(AND(AG$7=$E24,$F24=1),중요_시점_표식,"")),"")</f>
        <v/>
      </c>
      <c r="AH24" s="26" t="str">
        <f ca="1">IFERROR(IF(LEN(중요_시점[[#This Row],[요일]])=0,"",IF(AND(AH$7=$E24,$F24=1),중요_시점_표식,"")),"")</f>
        <v/>
      </c>
      <c r="AI24" s="26" t="str">
        <f ca="1">IFERROR(IF(LEN(중요_시점[[#This Row],[요일]])=0,"",IF(AND(AI$7=$E24,$F24=1),중요_시점_표식,"")),"")</f>
        <v/>
      </c>
      <c r="AJ24" s="26" t="str">
        <f ca="1">IFERROR(IF(LEN(중요_시점[[#This Row],[요일]])=0,"",IF(AND(AJ$7=$E24,$F24=1),중요_시점_표식,"")),"")</f>
        <v/>
      </c>
      <c r="AK24" s="26" t="str">
        <f ca="1">IFERROR(IF(LEN(중요_시점[[#This Row],[요일]])=0,"",IF(AND(AK$7=$E24,$F24=1),중요_시점_표식,"")),"")</f>
        <v/>
      </c>
      <c r="AL24" s="26" t="str">
        <f ca="1">IFERROR(IF(LEN(중요_시점[[#This Row],[요일]])=0,"",IF(AND(AL$7=$E24,$F24=1),중요_시점_표식,"")),"")</f>
        <v/>
      </c>
      <c r="AM24" s="26" t="str">
        <f ca="1">IFERROR(IF(LEN(중요_시점[[#This Row],[요일]])=0,"",IF(AND(AM$7=$E24,$F24=1),중요_시점_표식,"")),"")</f>
        <v/>
      </c>
      <c r="AN24" s="26" t="str">
        <f ca="1">IFERROR(IF(LEN(중요_시점[[#This Row],[요일]])=0,"",IF(AND(AN$7=$E24,$F24=1),중요_시점_표식,"")),"")</f>
        <v/>
      </c>
      <c r="AO24" s="26" t="str">
        <f ca="1">IFERROR(IF(LEN(중요_시점[[#This Row],[요일]])=0,"",IF(AND(AO$7=$E24,$F24=1),중요_시점_표식,"")),"")</f>
        <v/>
      </c>
      <c r="AP24" s="26" t="str">
        <f ca="1">IFERROR(IF(LEN(중요_시점[[#This Row],[요일]])=0,"",IF(AND(AP$7=$E24,$F24=1),중요_시점_표식,"")),"")</f>
        <v/>
      </c>
      <c r="AQ24" s="26" t="str">
        <f ca="1">IFERROR(IF(LEN(중요_시점[[#This Row],[요일]])=0,"",IF(AND(AQ$7=$E24,$F24=1),중요_시점_표식,"")),"")</f>
        <v/>
      </c>
      <c r="AR24" s="26" t="str">
        <f ca="1">IFERROR(IF(LEN(중요_시점[[#This Row],[요일]])=0,"",IF(AND(AR$7=$E24,$F24=1),중요_시점_표식,"")),"")</f>
        <v/>
      </c>
      <c r="AS24" s="26" t="str">
        <f ca="1">IFERROR(IF(LEN(중요_시점[[#This Row],[요일]])=0,"",IF(AND(AS$7=$E24,$F24=1),중요_시점_표식,"")),"")</f>
        <v/>
      </c>
      <c r="AT24" s="26" t="str">
        <f ca="1">IFERROR(IF(LEN(중요_시점[[#This Row],[요일]])=0,"",IF(AND(AT$7=$E24,$F24=1),중요_시점_표식,"")),"")</f>
        <v/>
      </c>
      <c r="AU24" s="26" t="str">
        <f ca="1">IFERROR(IF(LEN(중요_시점[[#This Row],[요일]])=0,"",IF(AND(AU$7=$E24,$F24=1),중요_시점_표식,"")),"")</f>
        <v/>
      </c>
      <c r="AV24" s="26" t="str">
        <f ca="1">IFERROR(IF(LEN(중요_시점[[#This Row],[요일]])=0,"",IF(AND(AV$7=$E24,$F24=1),중요_시점_표식,"")),"")</f>
        <v/>
      </c>
      <c r="AW24" s="26" t="str">
        <f ca="1">IFERROR(IF(LEN(중요_시점[[#This Row],[요일]])=0,"",IF(AND(AW$7=$E24,$F24=1),중요_시점_표식,"")),"")</f>
        <v/>
      </c>
      <c r="AX24" s="26" t="str">
        <f ca="1">IFERROR(IF(LEN(중요_시점[[#This Row],[요일]])=0,"",IF(AND(AX$7=$E24,$F24=1),중요_시점_표식,"")),"")</f>
        <v/>
      </c>
      <c r="AY24" s="26" t="str">
        <f ca="1">IFERROR(IF(LEN(중요_시점[[#This Row],[요일]])=0,"",IF(AND(AY$7=$E24,$F24=1),중요_시점_표식,"")),"")</f>
        <v/>
      </c>
      <c r="AZ24" s="26" t="str">
        <f ca="1">IFERROR(IF(LEN(중요_시점[[#This Row],[요일]])=0,"",IF(AND(AZ$7=$E24,$F24=1),중요_시점_표식,"")),"")</f>
        <v/>
      </c>
      <c r="BA24" s="26" t="str">
        <f ca="1">IFERROR(IF(LEN(중요_시점[[#This Row],[요일]])=0,"",IF(AND(BA$7=$E24,$F24=1),중요_시점_표식,"")),"")</f>
        <v/>
      </c>
      <c r="BB24" s="26" t="str">
        <f ca="1">IFERROR(IF(LEN(중요_시점[[#This Row],[요일]])=0,"",IF(AND(BB$7=$E24,$F24=1),중요_시점_표식,"")),"")</f>
        <v/>
      </c>
      <c r="BC24" s="26" t="str">
        <f ca="1">IFERROR(IF(LEN(중요_시점[[#This Row],[요일]])=0,"",IF(AND(BC$7=$E24,$F24=1),중요_시점_표식,"")),"")</f>
        <v/>
      </c>
      <c r="BD24" s="26" t="str">
        <f ca="1">IFERROR(IF(LEN(중요_시점[[#This Row],[요일]])=0,"",IF(AND(BD$7=$E24,$F24=1),중요_시점_표식,"")),"")</f>
        <v/>
      </c>
      <c r="BE24" s="26" t="str">
        <f ca="1">IFERROR(IF(LEN(중요_시점[[#This Row],[요일]])=0,"",IF(AND(BE$7=$E24,$F24=1),중요_시점_표식,"")),"")</f>
        <v/>
      </c>
      <c r="BF24" s="26" t="str">
        <f ca="1">IFERROR(IF(LEN(중요_시점[[#This Row],[요일]])=0,"",IF(AND(BF$7=$E24,$F24=1),중요_시점_표식,"")),"")</f>
        <v/>
      </c>
      <c r="BG24" s="26" t="str">
        <f ca="1">IFERROR(IF(LEN(중요_시점[[#This Row],[요일]])=0,"",IF(AND(BG$7=$E24,$F24=1),중요_시점_표식,"")),"")</f>
        <v/>
      </c>
      <c r="BH24" s="26" t="str">
        <f ca="1">IFERROR(IF(LEN(중요_시점[[#This Row],[요일]])=0,"",IF(AND(BH$7=$E24,$F24=1),중요_시점_표식,"")),"")</f>
        <v/>
      </c>
      <c r="BI24" s="26" t="str">
        <f ca="1">IFERROR(IF(LEN(중요_시점[[#This Row],[요일]])=0,"",IF(AND(BI$7=$E24,$F24=1),중요_시점_표식,"")),"")</f>
        <v/>
      </c>
      <c r="BJ24" s="26" t="str">
        <f ca="1">IFERROR(IF(LEN(중요_시점[[#This Row],[요일]])=0,"",IF(AND(BJ$7=$E24,$F24=1),중요_시점_표식,"")),"")</f>
        <v/>
      </c>
      <c r="BK24" s="26" t="str">
        <f ca="1">IFERROR(IF(LEN(중요_시점[[#This Row],[요일]])=0,"",IF(AND(BK$7=$E24,$F24=1),중요_시점_표식,"")),"")</f>
        <v/>
      </c>
    </row>
    <row r="25" spans="1:63" s="1" customFormat="1" ht="30" customHeight="1" outlineLevel="1">
      <c r="A25" s="5"/>
      <c r="B25" s="49" t="s">
        <v>12</v>
      </c>
      <c r="C25" s="13"/>
      <c r="D25" s="43"/>
      <c r="E25" s="42">
        <f ca="1">TODAY()+35</f>
        <v>44623</v>
      </c>
      <c r="F25" s="12">
        <v>6</v>
      </c>
      <c r="G25" s="27"/>
      <c r="H25" s="26" t="str">
        <f ca="1">IFERROR(IF(LEN(중요_시점[[#This Row],[요일]])=0,"",IF(AND(H$7=$E25,$F25=1),중요_시점_표식,"")),"")</f>
        <v/>
      </c>
      <c r="I25" s="26" t="str">
        <f ca="1">IFERROR(IF(LEN(중요_시점[[#This Row],[요일]])=0,"",IF(AND(I$7=$E25,$F25=1),중요_시점_표식,"")),"")</f>
        <v/>
      </c>
      <c r="J25" s="26" t="str">
        <f ca="1">IFERROR(IF(LEN(중요_시점[[#This Row],[요일]])=0,"",IF(AND(J$7=$E25,$F25=1),중요_시점_표식,"")),"")</f>
        <v/>
      </c>
      <c r="K25" s="26" t="str">
        <f ca="1">IFERROR(IF(LEN(중요_시점[[#This Row],[요일]])=0,"",IF(AND(K$7=$E25,$F25=1),중요_시점_표식,"")),"")</f>
        <v/>
      </c>
      <c r="L25" s="26" t="str">
        <f ca="1">IFERROR(IF(LEN(중요_시점[[#This Row],[요일]])=0,"",IF(AND(L$7=$E25,$F25=1),중요_시점_표식,"")),"")</f>
        <v/>
      </c>
      <c r="M25" s="26" t="str">
        <f ca="1">IFERROR(IF(LEN(중요_시점[[#This Row],[요일]])=0,"",IF(AND(M$7=$E25,$F25=1),중요_시점_표식,"")),"")</f>
        <v/>
      </c>
      <c r="N25" s="26" t="str">
        <f ca="1">IFERROR(IF(LEN(중요_시점[[#This Row],[요일]])=0,"",IF(AND(N$7=$E25,$F25=1),중요_시점_표식,"")),"")</f>
        <v/>
      </c>
      <c r="O25" s="26" t="str">
        <f ca="1">IFERROR(IF(LEN(중요_시점[[#This Row],[요일]])=0,"",IF(AND(O$7=$E25,$F25=1),중요_시점_표식,"")),"")</f>
        <v/>
      </c>
      <c r="P25" s="26" t="str">
        <f ca="1">IFERROR(IF(LEN(중요_시점[[#This Row],[요일]])=0,"",IF(AND(P$7=$E25,$F25=1),중요_시점_표식,"")),"")</f>
        <v/>
      </c>
      <c r="Q25" s="26" t="str">
        <f ca="1">IFERROR(IF(LEN(중요_시점[[#This Row],[요일]])=0,"",IF(AND(Q$7=$E25,$F25=1),중요_시점_표식,"")),"")</f>
        <v/>
      </c>
      <c r="R25" s="26" t="str">
        <f ca="1">IFERROR(IF(LEN(중요_시점[[#This Row],[요일]])=0,"",IF(AND(R$7=$E25,$F25=1),중요_시점_표식,"")),"")</f>
        <v/>
      </c>
      <c r="S25" s="26" t="str">
        <f ca="1">IFERROR(IF(LEN(중요_시점[[#This Row],[요일]])=0,"",IF(AND(S$7=$E25,$F25=1),중요_시점_표식,"")),"")</f>
        <v/>
      </c>
      <c r="T25" s="26" t="str">
        <f ca="1">IFERROR(IF(LEN(중요_시점[[#This Row],[요일]])=0,"",IF(AND(T$7=$E25,$F25=1),중요_시점_표식,"")),"")</f>
        <v/>
      </c>
      <c r="U25" s="26" t="str">
        <f ca="1">IFERROR(IF(LEN(중요_시점[[#This Row],[요일]])=0,"",IF(AND(U$7=$E25,$F25=1),중요_시점_표식,"")),"")</f>
        <v/>
      </c>
      <c r="V25" s="26" t="str">
        <f ca="1">IFERROR(IF(LEN(중요_시점[[#This Row],[요일]])=0,"",IF(AND(V$7=$E25,$F25=1),중요_시점_표식,"")),"")</f>
        <v/>
      </c>
      <c r="W25" s="26" t="str">
        <f ca="1">IFERROR(IF(LEN(중요_시점[[#This Row],[요일]])=0,"",IF(AND(W$7=$E25,$F25=1),중요_시점_표식,"")),"")</f>
        <v/>
      </c>
      <c r="X25" s="26" t="str">
        <f ca="1">IFERROR(IF(LEN(중요_시점[[#This Row],[요일]])=0,"",IF(AND(X$7=$E25,$F25=1),중요_시점_표식,"")),"")</f>
        <v/>
      </c>
      <c r="Y25" s="26" t="str">
        <f ca="1">IFERROR(IF(LEN(중요_시점[[#This Row],[요일]])=0,"",IF(AND(Y$7=$E25,$F25=1),중요_시점_표식,"")),"")</f>
        <v/>
      </c>
      <c r="Z25" s="26" t="str">
        <f ca="1">IFERROR(IF(LEN(중요_시점[[#This Row],[요일]])=0,"",IF(AND(Z$7=$E25,$F25=1),중요_시점_표식,"")),"")</f>
        <v/>
      </c>
      <c r="AA25" s="26" t="str">
        <f ca="1">IFERROR(IF(LEN(중요_시점[[#This Row],[요일]])=0,"",IF(AND(AA$7=$E25,$F25=1),중요_시점_표식,"")),"")</f>
        <v/>
      </c>
      <c r="AB25" s="26" t="str">
        <f ca="1">IFERROR(IF(LEN(중요_시점[[#This Row],[요일]])=0,"",IF(AND(AB$7=$E25,$F25=1),중요_시점_표식,"")),"")</f>
        <v/>
      </c>
      <c r="AC25" s="26" t="str">
        <f ca="1">IFERROR(IF(LEN(중요_시점[[#This Row],[요일]])=0,"",IF(AND(AC$7=$E25,$F25=1),중요_시점_표식,"")),"")</f>
        <v/>
      </c>
      <c r="AD25" s="26" t="str">
        <f ca="1">IFERROR(IF(LEN(중요_시점[[#This Row],[요일]])=0,"",IF(AND(AD$7=$E25,$F25=1),중요_시점_표식,"")),"")</f>
        <v/>
      </c>
      <c r="AE25" s="26" t="str">
        <f ca="1">IFERROR(IF(LEN(중요_시점[[#This Row],[요일]])=0,"",IF(AND(AE$7=$E25,$F25=1),중요_시점_표식,"")),"")</f>
        <v/>
      </c>
      <c r="AF25" s="26" t="str">
        <f ca="1">IFERROR(IF(LEN(중요_시점[[#This Row],[요일]])=0,"",IF(AND(AF$7=$E25,$F25=1),중요_시점_표식,"")),"")</f>
        <v/>
      </c>
      <c r="AG25" s="26" t="str">
        <f ca="1">IFERROR(IF(LEN(중요_시점[[#This Row],[요일]])=0,"",IF(AND(AG$7=$E25,$F25=1),중요_시점_표식,"")),"")</f>
        <v/>
      </c>
      <c r="AH25" s="26" t="str">
        <f ca="1">IFERROR(IF(LEN(중요_시점[[#This Row],[요일]])=0,"",IF(AND(AH$7=$E25,$F25=1),중요_시점_표식,"")),"")</f>
        <v/>
      </c>
      <c r="AI25" s="26" t="str">
        <f ca="1">IFERROR(IF(LEN(중요_시점[[#This Row],[요일]])=0,"",IF(AND(AI$7=$E25,$F25=1),중요_시점_표식,"")),"")</f>
        <v/>
      </c>
      <c r="AJ25" s="26" t="str">
        <f ca="1">IFERROR(IF(LEN(중요_시점[[#This Row],[요일]])=0,"",IF(AND(AJ$7=$E25,$F25=1),중요_시점_표식,"")),"")</f>
        <v/>
      </c>
      <c r="AK25" s="26" t="str">
        <f ca="1">IFERROR(IF(LEN(중요_시점[[#This Row],[요일]])=0,"",IF(AND(AK$7=$E25,$F25=1),중요_시점_표식,"")),"")</f>
        <v/>
      </c>
      <c r="AL25" s="26" t="str">
        <f ca="1">IFERROR(IF(LEN(중요_시점[[#This Row],[요일]])=0,"",IF(AND(AL$7=$E25,$F25=1),중요_시점_표식,"")),"")</f>
        <v/>
      </c>
      <c r="AM25" s="26" t="str">
        <f ca="1">IFERROR(IF(LEN(중요_시점[[#This Row],[요일]])=0,"",IF(AND(AM$7=$E25,$F25=1),중요_시점_표식,"")),"")</f>
        <v/>
      </c>
      <c r="AN25" s="26" t="str">
        <f ca="1">IFERROR(IF(LEN(중요_시점[[#This Row],[요일]])=0,"",IF(AND(AN$7=$E25,$F25=1),중요_시점_표식,"")),"")</f>
        <v/>
      </c>
      <c r="AO25" s="26" t="str">
        <f ca="1">IFERROR(IF(LEN(중요_시점[[#This Row],[요일]])=0,"",IF(AND(AO$7=$E25,$F25=1),중요_시점_표식,"")),"")</f>
        <v/>
      </c>
      <c r="AP25" s="26" t="str">
        <f ca="1">IFERROR(IF(LEN(중요_시점[[#This Row],[요일]])=0,"",IF(AND(AP$7=$E25,$F25=1),중요_시점_표식,"")),"")</f>
        <v/>
      </c>
      <c r="AQ25" s="26" t="str">
        <f ca="1">IFERROR(IF(LEN(중요_시점[[#This Row],[요일]])=0,"",IF(AND(AQ$7=$E25,$F25=1),중요_시점_표식,"")),"")</f>
        <v/>
      </c>
      <c r="AR25" s="26" t="str">
        <f ca="1">IFERROR(IF(LEN(중요_시점[[#This Row],[요일]])=0,"",IF(AND(AR$7=$E25,$F25=1),중요_시점_표식,"")),"")</f>
        <v/>
      </c>
      <c r="AS25" s="26" t="str">
        <f ca="1">IFERROR(IF(LEN(중요_시점[[#This Row],[요일]])=0,"",IF(AND(AS$7=$E25,$F25=1),중요_시점_표식,"")),"")</f>
        <v/>
      </c>
      <c r="AT25" s="26" t="str">
        <f ca="1">IFERROR(IF(LEN(중요_시점[[#This Row],[요일]])=0,"",IF(AND(AT$7=$E25,$F25=1),중요_시점_표식,"")),"")</f>
        <v/>
      </c>
      <c r="AU25" s="26" t="str">
        <f ca="1">IFERROR(IF(LEN(중요_시점[[#This Row],[요일]])=0,"",IF(AND(AU$7=$E25,$F25=1),중요_시점_표식,"")),"")</f>
        <v/>
      </c>
      <c r="AV25" s="26" t="str">
        <f ca="1">IFERROR(IF(LEN(중요_시점[[#This Row],[요일]])=0,"",IF(AND(AV$7=$E25,$F25=1),중요_시점_표식,"")),"")</f>
        <v/>
      </c>
      <c r="AW25" s="26" t="str">
        <f ca="1">IFERROR(IF(LEN(중요_시점[[#This Row],[요일]])=0,"",IF(AND(AW$7=$E25,$F25=1),중요_시점_표식,"")),"")</f>
        <v/>
      </c>
      <c r="AX25" s="26" t="str">
        <f ca="1">IFERROR(IF(LEN(중요_시점[[#This Row],[요일]])=0,"",IF(AND(AX$7=$E25,$F25=1),중요_시점_표식,"")),"")</f>
        <v/>
      </c>
      <c r="AY25" s="26" t="str">
        <f ca="1">IFERROR(IF(LEN(중요_시점[[#This Row],[요일]])=0,"",IF(AND(AY$7=$E25,$F25=1),중요_시점_표식,"")),"")</f>
        <v/>
      </c>
      <c r="AZ25" s="26" t="str">
        <f ca="1">IFERROR(IF(LEN(중요_시점[[#This Row],[요일]])=0,"",IF(AND(AZ$7=$E25,$F25=1),중요_시점_표식,"")),"")</f>
        <v/>
      </c>
      <c r="BA25" s="26" t="str">
        <f ca="1">IFERROR(IF(LEN(중요_시점[[#This Row],[요일]])=0,"",IF(AND(BA$7=$E25,$F25=1),중요_시점_표식,"")),"")</f>
        <v/>
      </c>
      <c r="BB25" s="26" t="str">
        <f ca="1">IFERROR(IF(LEN(중요_시점[[#This Row],[요일]])=0,"",IF(AND(BB$7=$E25,$F25=1),중요_시점_표식,"")),"")</f>
        <v/>
      </c>
      <c r="BC25" s="26" t="str">
        <f ca="1">IFERROR(IF(LEN(중요_시점[[#This Row],[요일]])=0,"",IF(AND(BC$7=$E25,$F25=1),중요_시점_표식,"")),"")</f>
        <v/>
      </c>
      <c r="BD25" s="26" t="str">
        <f ca="1">IFERROR(IF(LEN(중요_시점[[#This Row],[요일]])=0,"",IF(AND(BD$7=$E25,$F25=1),중요_시점_표식,"")),"")</f>
        <v/>
      </c>
      <c r="BE25" s="26" t="str">
        <f ca="1">IFERROR(IF(LEN(중요_시점[[#This Row],[요일]])=0,"",IF(AND(BE$7=$E25,$F25=1),중요_시점_표식,"")),"")</f>
        <v/>
      </c>
      <c r="BF25" s="26" t="str">
        <f ca="1">IFERROR(IF(LEN(중요_시점[[#This Row],[요일]])=0,"",IF(AND(BF$7=$E25,$F25=1),중요_시점_표식,"")),"")</f>
        <v/>
      </c>
      <c r="BG25" s="26" t="str">
        <f ca="1">IFERROR(IF(LEN(중요_시점[[#This Row],[요일]])=0,"",IF(AND(BG$7=$E25,$F25=1),중요_시점_표식,"")),"")</f>
        <v/>
      </c>
      <c r="BH25" s="26" t="str">
        <f ca="1">IFERROR(IF(LEN(중요_시점[[#This Row],[요일]])=0,"",IF(AND(BH$7=$E25,$F25=1),중요_시점_표식,"")),"")</f>
        <v/>
      </c>
      <c r="BI25" s="26" t="str">
        <f ca="1">IFERROR(IF(LEN(중요_시점[[#This Row],[요일]])=0,"",IF(AND(BI$7=$E25,$F25=1),중요_시점_표식,"")),"")</f>
        <v/>
      </c>
      <c r="BJ25" s="26" t="str">
        <f ca="1">IFERROR(IF(LEN(중요_시점[[#This Row],[요일]])=0,"",IF(AND(BJ$7=$E25,$F25=1),중요_시점_표식,"")),"")</f>
        <v/>
      </c>
      <c r="BK25" s="26" t="str">
        <f ca="1">IFERROR(IF(LEN(중요_시점[[#This Row],[요일]])=0,"",IF(AND(BK$7=$E25,$F25=1),중요_시점_표식,"")),"")</f>
        <v/>
      </c>
    </row>
    <row r="26" spans="1:63" s="1" customFormat="1" ht="30" customHeight="1" outlineLevel="1">
      <c r="A26" s="5"/>
      <c r="B26" s="49" t="s">
        <v>13</v>
      </c>
      <c r="C26" s="13"/>
      <c r="D26" s="43"/>
      <c r="E26" s="42">
        <f ca="1">TODAY()+48</f>
        <v>44636</v>
      </c>
      <c r="F26" s="12">
        <v>3</v>
      </c>
      <c r="G26" s="27"/>
      <c r="H26" s="26" t="str">
        <f ca="1">IFERROR(IF(LEN(중요_시점[[#This Row],[요일]])=0,"",IF(AND(H$7=$E26,$F26=1),중요_시점_표식,"")),"")</f>
        <v/>
      </c>
      <c r="I26" s="26" t="str">
        <f ca="1">IFERROR(IF(LEN(중요_시점[[#This Row],[요일]])=0,"",IF(AND(I$7=$E26,$F26=1),중요_시점_표식,"")),"")</f>
        <v/>
      </c>
      <c r="J26" s="26" t="str">
        <f ca="1">IFERROR(IF(LEN(중요_시점[[#This Row],[요일]])=0,"",IF(AND(J$7=$E26,$F26=1),중요_시점_표식,"")),"")</f>
        <v/>
      </c>
      <c r="K26" s="26" t="str">
        <f ca="1">IFERROR(IF(LEN(중요_시점[[#This Row],[요일]])=0,"",IF(AND(K$7=$E26,$F26=1),중요_시점_표식,"")),"")</f>
        <v/>
      </c>
      <c r="L26" s="26" t="str">
        <f ca="1">IFERROR(IF(LEN(중요_시점[[#This Row],[요일]])=0,"",IF(AND(L$7=$E26,$F26=1),중요_시점_표식,"")),"")</f>
        <v/>
      </c>
      <c r="M26" s="26" t="str">
        <f ca="1">IFERROR(IF(LEN(중요_시점[[#This Row],[요일]])=0,"",IF(AND(M$7=$E26,$F26=1),중요_시점_표식,"")),"")</f>
        <v/>
      </c>
      <c r="N26" s="26" t="str">
        <f ca="1">IFERROR(IF(LEN(중요_시점[[#This Row],[요일]])=0,"",IF(AND(N$7=$E26,$F26=1),중요_시점_표식,"")),"")</f>
        <v/>
      </c>
      <c r="O26" s="26" t="str">
        <f ca="1">IFERROR(IF(LEN(중요_시점[[#This Row],[요일]])=0,"",IF(AND(O$7=$E26,$F26=1),중요_시점_표식,"")),"")</f>
        <v/>
      </c>
      <c r="P26" s="26" t="str">
        <f ca="1">IFERROR(IF(LEN(중요_시점[[#This Row],[요일]])=0,"",IF(AND(P$7=$E26,$F26=1),중요_시점_표식,"")),"")</f>
        <v/>
      </c>
      <c r="Q26" s="26" t="str">
        <f ca="1">IFERROR(IF(LEN(중요_시점[[#This Row],[요일]])=0,"",IF(AND(Q$7=$E26,$F26=1),중요_시점_표식,"")),"")</f>
        <v/>
      </c>
      <c r="R26" s="26" t="str">
        <f ca="1">IFERROR(IF(LEN(중요_시점[[#This Row],[요일]])=0,"",IF(AND(R$7=$E26,$F26=1),중요_시점_표식,"")),"")</f>
        <v/>
      </c>
      <c r="S26" s="26" t="str">
        <f ca="1">IFERROR(IF(LEN(중요_시점[[#This Row],[요일]])=0,"",IF(AND(S$7=$E26,$F26=1),중요_시점_표식,"")),"")</f>
        <v/>
      </c>
      <c r="T26" s="26" t="str">
        <f ca="1">IFERROR(IF(LEN(중요_시점[[#This Row],[요일]])=0,"",IF(AND(T$7=$E26,$F26=1),중요_시점_표식,"")),"")</f>
        <v/>
      </c>
      <c r="U26" s="26" t="str">
        <f ca="1">IFERROR(IF(LEN(중요_시점[[#This Row],[요일]])=0,"",IF(AND(U$7=$E26,$F26=1),중요_시점_표식,"")),"")</f>
        <v/>
      </c>
      <c r="V26" s="26" t="str">
        <f ca="1">IFERROR(IF(LEN(중요_시점[[#This Row],[요일]])=0,"",IF(AND(V$7=$E26,$F26=1),중요_시점_표식,"")),"")</f>
        <v/>
      </c>
      <c r="W26" s="26" t="str">
        <f ca="1">IFERROR(IF(LEN(중요_시점[[#This Row],[요일]])=0,"",IF(AND(W$7=$E26,$F26=1),중요_시점_표식,"")),"")</f>
        <v/>
      </c>
      <c r="X26" s="26" t="str">
        <f ca="1">IFERROR(IF(LEN(중요_시점[[#This Row],[요일]])=0,"",IF(AND(X$7=$E26,$F26=1),중요_시점_표식,"")),"")</f>
        <v/>
      </c>
      <c r="Y26" s="26" t="str">
        <f ca="1">IFERROR(IF(LEN(중요_시점[[#This Row],[요일]])=0,"",IF(AND(Y$7=$E26,$F26=1),중요_시점_표식,"")),"")</f>
        <v/>
      </c>
      <c r="Z26" s="26" t="str">
        <f ca="1">IFERROR(IF(LEN(중요_시점[[#This Row],[요일]])=0,"",IF(AND(Z$7=$E26,$F26=1),중요_시점_표식,"")),"")</f>
        <v/>
      </c>
      <c r="AA26" s="26" t="str">
        <f ca="1">IFERROR(IF(LEN(중요_시점[[#This Row],[요일]])=0,"",IF(AND(AA$7=$E26,$F26=1),중요_시점_표식,"")),"")</f>
        <v/>
      </c>
      <c r="AB26" s="26" t="str">
        <f ca="1">IFERROR(IF(LEN(중요_시점[[#This Row],[요일]])=0,"",IF(AND(AB$7=$E26,$F26=1),중요_시점_표식,"")),"")</f>
        <v/>
      </c>
      <c r="AC26" s="26" t="str">
        <f ca="1">IFERROR(IF(LEN(중요_시점[[#This Row],[요일]])=0,"",IF(AND(AC$7=$E26,$F26=1),중요_시점_표식,"")),"")</f>
        <v/>
      </c>
      <c r="AD26" s="26" t="str">
        <f ca="1">IFERROR(IF(LEN(중요_시점[[#This Row],[요일]])=0,"",IF(AND(AD$7=$E26,$F26=1),중요_시점_표식,"")),"")</f>
        <v/>
      </c>
      <c r="AE26" s="26" t="str">
        <f ca="1">IFERROR(IF(LEN(중요_시점[[#This Row],[요일]])=0,"",IF(AND(AE$7=$E26,$F26=1),중요_시점_표식,"")),"")</f>
        <v/>
      </c>
      <c r="AF26" s="26" t="str">
        <f ca="1">IFERROR(IF(LEN(중요_시점[[#This Row],[요일]])=0,"",IF(AND(AF$7=$E26,$F26=1),중요_시점_표식,"")),"")</f>
        <v/>
      </c>
      <c r="AG26" s="26" t="str">
        <f ca="1">IFERROR(IF(LEN(중요_시점[[#This Row],[요일]])=0,"",IF(AND(AG$7=$E26,$F26=1),중요_시점_표식,"")),"")</f>
        <v/>
      </c>
      <c r="AH26" s="26" t="str">
        <f ca="1">IFERROR(IF(LEN(중요_시점[[#This Row],[요일]])=0,"",IF(AND(AH$7=$E26,$F26=1),중요_시점_표식,"")),"")</f>
        <v/>
      </c>
      <c r="AI26" s="26" t="str">
        <f ca="1">IFERROR(IF(LEN(중요_시점[[#This Row],[요일]])=0,"",IF(AND(AI$7=$E26,$F26=1),중요_시점_표식,"")),"")</f>
        <v/>
      </c>
      <c r="AJ26" s="26" t="str">
        <f ca="1">IFERROR(IF(LEN(중요_시점[[#This Row],[요일]])=0,"",IF(AND(AJ$7=$E26,$F26=1),중요_시점_표식,"")),"")</f>
        <v/>
      </c>
      <c r="AK26" s="26" t="str">
        <f ca="1">IFERROR(IF(LEN(중요_시점[[#This Row],[요일]])=0,"",IF(AND(AK$7=$E26,$F26=1),중요_시점_표식,"")),"")</f>
        <v/>
      </c>
      <c r="AL26" s="26" t="str">
        <f ca="1">IFERROR(IF(LEN(중요_시점[[#This Row],[요일]])=0,"",IF(AND(AL$7=$E26,$F26=1),중요_시점_표식,"")),"")</f>
        <v/>
      </c>
      <c r="AM26" s="26" t="str">
        <f ca="1">IFERROR(IF(LEN(중요_시점[[#This Row],[요일]])=0,"",IF(AND(AM$7=$E26,$F26=1),중요_시점_표식,"")),"")</f>
        <v/>
      </c>
      <c r="AN26" s="26" t="str">
        <f ca="1">IFERROR(IF(LEN(중요_시점[[#This Row],[요일]])=0,"",IF(AND(AN$7=$E26,$F26=1),중요_시점_표식,"")),"")</f>
        <v/>
      </c>
      <c r="AO26" s="26" t="str">
        <f ca="1">IFERROR(IF(LEN(중요_시점[[#This Row],[요일]])=0,"",IF(AND(AO$7=$E26,$F26=1),중요_시점_표식,"")),"")</f>
        <v/>
      </c>
      <c r="AP26" s="26" t="str">
        <f ca="1">IFERROR(IF(LEN(중요_시점[[#This Row],[요일]])=0,"",IF(AND(AP$7=$E26,$F26=1),중요_시점_표식,"")),"")</f>
        <v/>
      </c>
      <c r="AQ26" s="26" t="str">
        <f ca="1">IFERROR(IF(LEN(중요_시점[[#This Row],[요일]])=0,"",IF(AND(AQ$7=$E26,$F26=1),중요_시점_표식,"")),"")</f>
        <v/>
      </c>
      <c r="AR26" s="26" t="str">
        <f ca="1">IFERROR(IF(LEN(중요_시점[[#This Row],[요일]])=0,"",IF(AND(AR$7=$E26,$F26=1),중요_시점_표식,"")),"")</f>
        <v/>
      </c>
      <c r="AS26" s="26" t="str">
        <f ca="1">IFERROR(IF(LEN(중요_시점[[#This Row],[요일]])=0,"",IF(AND(AS$7=$E26,$F26=1),중요_시점_표식,"")),"")</f>
        <v/>
      </c>
      <c r="AT26" s="26" t="str">
        <f ca="1">IFERROR(IF(LEN(중요_시점[[#This Row],[요일]])=0,"",IF(AND(AT$7=$E26,$F26=1),중요_시점_표식,"")),"")</f>
        <v/>
      </c>
      <c r="AU26" s="26" t="str">
        <f ca="1">IFERROR(IF(LEN(중요_시점[[#This Row],[요일]])=0,"",IF(AND(AU$7=$E26,$F26=1),중요_시점_표식,"")),"")</f>
        <v/>
      </c>
      <c r="AV26" s="26" t="str">
        <f ca="1">IFERROR(IF(LEN(중요_시점[[#This Row],[요일]])=0,"",IF(AND(AV$7=$E26,$F26=1),중요_시점_표식,"")),"")</f>
        <v/>
      </c>
      <c r="AW26" s="26" t="str">
        <f ca="1">IFERROR(IF(LEN(중요_시점[[#This Row],[요일]])=0,"",IF(AND(AW$7=$E26,$F26=1),중요_시점_표식,"")),"")</f>
        <v/>
      </c>
      <c r="AX26" s="26" t="str">
        <f ca="1">IFERROR(IF(LEN(중요_시점[[#This Row],[요일]])=0,"",IF(AND(AX$7=$E26,$F26=1),중요_시점_표식,"")),"")</f>
        <v/>
      </c>
      <c r="AY26" s="26" t="str">
        <f ca="1">IFERROR(IF(LEN(중요_시점[[#This Row],[요일]])=0,"",IF(AND(AY$7=$E26,$F26=1),중요_시점_표식,"")),"")</f>
        <v/>
      </c>
      <c r="AZ26" s="26" t="str">
        <f ca="1">IFERROR(IF(LEN(중요_시점[[#This Row],[요일]])=0,"",IF(AND(AZ$7=$E26,$F26=1),중요_시점_표식,"")),"")</f>
        <v/>
      </c>
      <c r="BA26" s="26" t="str">
        <f ca="1">IFERROR(IF(LEN(중요_시점[[#This Row],[요일]])=0,"",IF(AND(BA$7=$E26,$F26=1),중요_시점_표식,"")),"")</f>
        <v/>
      </c>
      <c r="BB26" s="26" t="str">
        <f ca="1">IFERROR(IF(LEN(중요_시점[[#This Row],[요일]])=0,"",IF(AND(BB$7=$E26,$F26=1),중요_시점_표식,"")),"")</f>
        <v/>
      </c>
      <c r="BC26" s="26" t="str">
        <f ca="1">IFERROR(IF(LEN(중요_시점[[#This Row],[요일]])=0,"",IF(AND(BC$7=$E26,$F26=1),중요_시점_표식,"")),"")</f>
        <v/>
      </c>
      <c r="BD26" s="26" t="str">
        <f ca="1">IFERROR(IF(LEN(중요_시점[[#This Row],[요일]])=0,"",IF(AND(BD$7=$E26,$F26=1),중요_시점_표식,"")),"")</f>
        <v/>
      </c>
      <c r="BE26" s="26" t="str">
        <f ca="1">IFERROR(IF(LEN(중요_시점[[#This Row],[요일]])=0,"",IF(AND(BE$7=$E26,$F26=1),중요_시점_표식,"")),"")</f>
        <v/>
      </c>
      <c r="BF26" s="26" t="str">
        <f ca="1">IFERROR(IF(LEN(중요_시점[[#This Row],[요일]])=0,"",IF(AND(BF$7=$E26,$F26=1),중요_시점_표식,"")),"")</f>
        <v/>
      </c>
      <c r="BG26" s="26" t="str">
        <f ca="1">IFERROR(IF(LEN(중요_시점[[#This Row],[요일]])=0,"",IF(AND(BG$7=$E26,$F26=1),중요_시점_표식,"")),"")</f>
        <v/>
      </c>
      <c r="BH26" s="26" t="str">
        <f ca="1">IFERROR(IF(LEN(중요_시점[[#This Row],[요일]])=0,"",IF(AND(BH$7=$E26,$F26=1),중요_시점_표식,"")),"")</f>
        <v/>
      </c>
      <c r="BI26" s="26" t="str">
        <f ca="1">IFERROR(IF(LEN(중요_시점[[#This Row],[요일]])=0,"",IF(AND(BI$7=$E26,$F26=1),중요_시점_표식,"")),"")</f>
        <v/>
      </c>
      <c r="BJ26" s="26" t="str">
        <f ca="1">IFERROR(IF(LEN(중요_시점[[#This Row],[요일]])=0,"",IF(AND(BJ$7=$E26,$F26=1),중요_시점_표식,"")),"")</f>
        <v/>
      </c>
      <c r="BK26" s="26" t="str">
        <f ca="1">IFERROR(IF(LEN(중요_시점[[#This Row],[요일]])=0,"",IF(AND(BK$7=$E26,$F26=1),중요_시점_표식,"")),"")</f>
        <v/>
      </c>
    </row>
    <row r="27" spans="1:63" s="1" customFormat="1" ht="30" customHeight="1" outlineLevel="1">
      <c r="A27" s="5"/>
      <c r="B27" s="49" t="s">
        <v>14</v>
      </c>
      <c r="C27" s="13"/>
      <c r="D27" s="43"/>
      <c r="E27" s="42">
        <f ca="1">TODAY()+40</f>
        <v>44628</v>
      </c>
      <c r="F27" s="12">
        <v>19</v>
      </c>
      <c r="G27" s="27"/>
      <c r="H27" s="26" t="str">
        <f ca="1">IFERROR(IF(LEN(중요_시점[[#This Row],[요일]])=0,"",IF(AND(H$7=$E27,$F27=1),중요_시점_표식,"")),"")</f>
        <v/>
      </c>
      <c r="I27" s="26" t="str">
        <f ca="1">IFERROR(IF(LEN(중요_시점[[#This Row],[요일]])=0,"",IF(AND(I$7=$E27,$F27=1),중요_시점_표식,"")),"")</f>
        <v/>
      </c>
      <c r="J27" s="26" t="str">
        <f ca="1">IFERROR(IF(LEN(중요_시점[[#This Row],[요일]])=0,"",IF(AND(J$7=$E27,$F27=1),중요_시점_표식,"")),"")</f>
        <v/>
      </c>
      <c r="K27" s="26" t="str">
        <f ca="1">IFERROR(IF(LEN(중요_시점[[#This Row],[요일]])=0,"",IF(AND(K$7=$E27,$F27=1),중요_시점_표식,"")),"")</f>
        <v/>
      </c>
      <c r="L27" s="26" t="str">
        <f ca="1">IFERROR(IF(LEN(중요_시점[[#This Row],[요일]])=0,"",IF(AND(L$7=$E27,$F27=1),중요_시점_표식,"")),"")</f>
        <v/>
      </c>
      <c r="M27" s="26" t="str">
        <f ca="1">IFERROR(IF(LEN(중요_시점[[#This Row],[요일]])=0,"",IF(AND(M$7=$E27,$F27=1),중요_시점_표식,"")),"")</f>
        <v/>
      </c>
      <c r="N27" s="26" t="str">
        <f ca="1">IFERROR(IF(LEN(중요_시점[[#This Row],[요일]])=0,"",IF(AND(N$7=$E27,$F27=1),중요_시점_표식,"")),"")</f>
        <v/>
      </c>
      <c r="O27" s="26" t="str">
        <f ca="1">IFERROR(IF(LEN(중요_시점[[#This Row],[요일]])=0,"",IF(AND(O$7=$E27,$F27=1),중요_시점_표식,"")),"")</f>
        <v/>
      </c>
      <c r="P27" s="26" t="str">
        <f ca="1">IFERROR(IF(LEN(중요_시점[[#This Row],[요일]])=0,"",IF(AND(P$7=$E27,$F27=1),중요_시점_표식,"")),"")</f>
        <v/>
      </c>
      <c r="Q27" s="26" t="str">
        <f ca="1">IFERROR(IF(LEN(중요_시점[[#This Row],[요일]])=0,"",IF(AND(Q$7=$E27,$F27=1),중요_시점_표식,"")),"")</f>
        <v/>
      </c>
      <c r="R27" s="26" t="str">
        <f ca="1">IFERROR(IF(LEN(중요_시점[[#This Row],[요일]])=0,"",IF(AND(R$7=$E27,$F27=1),중요_시점_표식,"")),"")</f>
        <v/>
      </c>
      <c r="S27" s="26" t="str">
        <f ca="1">IFERROR(IF(LEN(중요_시점[[#This Row],[요일]])=0,"",IF(AND(S$7=$E27,$F27=1),중요_시점_표식,"")),"")</f>
        <v/>
      </c>
      <c r="T27" s="26" t="str">
        <f ca="1">IFERROR(IF(LEN(중요_시점[[#This Row],[요일]])=0,"",IF(AND(T$7=$E27,$F27=1),중요_시점_표식,"")),"")</f>
        <v/>
      </c>
      <c r="U27" s="26" t="str">
        <f ca="1">IFERROR(IF(LEN(중요_시점[[#This Row],[요일]])=0,"",IF(AND(U$7=$E27,$F27=1),중요_시점_표식,"")),"")</f>
        <v/>
      </c>
      <c r="V27" s="26" t="str">
        <f ca="1">IFERROR(IF(LEN(중요_시점[[#This Row],[요일]])=0,"",IF(AND(V$7=$E27,$F27=1),중요_시점_표식,"")),"")</f>
        <v/>
      </c>
      <c r="W27" s="26" t="str">
        <f ca="1">IFERROR(IF(LEN(중요_시점[[#This Row],[요일]])=0,"",IF(AND(W$7=$E27,$F27=1),중요_시점_표식,"")),"")</f>
        <v/>
      </c>
      <c r="X27" s="26" t="str">
        <f ca="1">IFERROR(IF(LEN(중요_시점[[#This Row],[요일]])=0,"",IF(AND(X$7=$E27,$F27=1),중요_시점_표식,"")),"")</f>
        <v/>
      </c>
      <c r="Y27" s="26" t="str">
        <f ca="1">IFERROR(IF(LEN(중요_시점[[#This Row],[요일]])=0,"",IF(AND(Y$7=$E27,$F27=1),중요_시점_표식,"")),"")</f>
        <v/>
      </c>
      <c r="Z27" s="26" t="str">
        <f ca="1">IFERROR(IF(LEN(중요_시점[[#This Row],[요일]])=0,"",IF(AND(Z$7=$E27,$F27=1),중요_시점_표식,"")),"")</f>
        <v/>
      </c>
      <c r="AA27" s="26" t="str">
        <f ca="1">IFERROR(IF(LEN(중요_시점[[#This Row],[요일]])=0,"",IF(AND(AA$7=$E27,$F27=1),중요_시점_표식,"")),"")</f>
        <v/>
      </c>
      <c r="AB27" s="26" t="str">
        <f ca="1">IFERROR(IF(LEN(중요_시점[[#This Row],[요일]])=0,"",IF(AND(AB$7=$E27,$F27=1),중요_시점_표식,"")),"")</f>
        <v/>
      </c>
      <c r="AC27" s="26" t="str">
        <f ca="1">IFERROR(IF(LEN(중요_시점[[#This Row],[요일]])=0,"",IF(AND(AC$7=$E27,$F27=1),중요_시점_표식,"")),"")</f>
        <v/>
      </c>
      <c r="AD27" s="26" t="str">
        <f ca="1">IFERROR(IF(LEN(중요_시점[[#This Row],[요일]])=0,"",IF(AND(AD$7=$E27,$F27=1),중요_시점_표식,"")),"")</f>
        <v/>
      </c>
      <c r="AE27" s="26" t="str">
        <f ca="1">IFERROR(IF(LEN(중요_시점[[#This Row],[요일]])=0,"",IF(AND(AE$7=$E27,$F27=1),중요_시점_표식,"")),"")</f>
        <v/>
      </c>
      <c r="AF27" s="26" t="str">
        <f ca="1">IFERROR(IF(LEN(중요_시점[[#This Row],[요일]])=0,"",IF(AND(AF$7=$E27,$F27=1),중요_시점_표식,"")),"")</f>
        <v/>
      </c>
      <c r="AG27" s="26" t="str">
        <f ca="1">IFERROR(IF(LEN(중요_시점[[#This Row],[요일]])=0,"",IF(AND(AG$7=$E27,$F27=1),중요_시점_표식,"")),"")</f>
        <v/>
      </c>
      <c r="AH27" s="26" t="str">
        <f ca="1">IFERROR(IF(LEN(중요_시점[[#This Row],[요일]])=0,"",IF(AND(AH$7=$E27,$F27=1),중요_시점_표식,"")),"")</f>
        <v/>
      </c>
      <c r="AI27" s="26" t="str">
        <f ca="1">IFERROR(IF(LEN(중요_시점[[#This Row],[요일]])=0,"",IF(AND(AI$7=$E27,$F27=1),중요_시점_표식,"")),"")</f>
        <v/>
      </c>
      <c r="AJ27" s="26" t="str">
        <f ca="1">IFERROR(IF(LEN(중요_시점[[#This Row],[요일]])=0,"",IF(AND(AJ$7=$E27,$F27=1),중요_시점_표식,"")),"")</f>
        <v/>
      </c>
      <c r="AK27" s="26" t="str">
        <f ca="1">IFERROR(IF(LEN(중요_시점[[#This Row],[요일]])=0,"",IF(AND(AK$7=$E27,$F27=1),중요_시점_표식,"")),"")</f>
        <v/>
      </c>
      <c r="AL27" s="26" t="str">
        <f ca="1">IFERROR(IF(LEN(중요_시점[[#This Row],[요일]])=0,"",IF(AND(AL$7=$E27,$F27=1),중요_시점_표식,"")),"")</f>
        <v/>
      </c>
      <c r="AM27" s="26" t="str">
        <f ca="1">IFERROR(IF(LEN(중요_시점[[#This Row],[요일]])=0,"",IF(AND(AM$7=$E27,$F27=1),중요_시점_표식,"")),"")</f>
        <v/>
      </c>
      <c r="AN27" s="26" t="str">
        <f ca="1">IFERROR(IF(LEN(중요_시점[[#This Row],[요일]])=0,"",IF(AND(AN$7=$E27,$F27=1),중요_시점_표식,"")),"")</f>
        <v/>
      </c>
      <c r="AO27" s="26" t="str">
        <f ca="1">IFERROR(IF(LEN(중요_시점[[#This Row],[요일]])=0,"",IF(AND(AO$7=$E27,$F27=1),중요_시점_표식,"")),"")</f>
        <v/>
      </c>
      <c r="AP27" s="26" t="str">
        <f ca="1">IFERROR(IF(LEN(중요_시점[[#This Row],[요일]])=0,"",IF(AND(AP$7=$E27,$F27=1),중요_시점_표식,"")),"")</f>
        <v/>
      </c>
      <c r="AQ27" s="26" t="str">
        <f ca="1">IFERROR(IF(LEN(중요_시점[[#This Row],[요일]])=0,"",IF(AND(AQ$7=$E27,$F27=1),중요_시점_표식,"")),"")</f>
        <v/>
      </c>
      <c r="AR27" s="26" t="str">
        <f ca="1">IFERROR(IF(LEN(중요_시점[[#This Row],[요일]])=0,"",IF(AND(AR$7=$E27,$F27=1),중요_시점_표식,"")),"")</f>
        <v/>
      </c>
      <c r="AS27" s="26" t="str">
        <f ca="1">IFERROR(IF(LEN(중요_시점[[#This Row],[요일]])=0,"",IF(AND(AS$7=$E27,$F27=1),중요_시점_표식,"")),"")</f>
        <v/>
      </c>
      <c r="AT27" s="26" t="str">
        <f ca="1">IFERROR(IF(LEN(중요_시점[[#This Row],[요일]])=0,"",IF(AND(AT$7=$E27,$F27=1),중요_시점_표식,"")),"")</f>
        <v/>
      </c>
      <c r="AU27" s="26" t="str">
        <f ca="1">IFERROR(IF(LEN(중요_시점[[#This Row],[요일]])=0,"",IF(AND(AU$7=$E27,$F27=1),중요_시점_표식,"")),"")</f>
        <v/>
      </c>
      <c r="AV27" s="26" t="str">
        <f ca="1">IFERROR(IF(LEN(중요_시점[[#This Row],[요일]])=0,"",IF(AND(AV$7=$E27,$F27=1),중요_시점_표식,"")),"")</f>
        <v/>
      </c>
      <c r="AW27" s="26" t="str">
        <f ca="1">IFERROR(IF(LEN(중요_시점[[#This Row],[요일]])=0,"",IF(AND(AW$7=$E27,$F27=1),중요_시점_표식,"")),"")</f>
        <v/>
      </c>
      <c r="AX27" s="26" t="str">
        <f ca="1">IFERROR(IF(LEN(중요_시점[[#This Row],[요일]])=0,"",IF(AND(AX$7=$E27,$F27=1),중요_시점_표식,"")),"")</f>
        <v/>
      </c>
      <c r="AY27" s="26" t="str">
        <f ca="1">IFERROR(IF(LEN(중요_시점[[#This Row],[요일]])=0,"",IF(AND(AY$7=$E27,$F27=1),중요_시점_표식,"")),"")</f>
        <v/>
      </c>
      <c r="AZ27" s="26" t="str">
        <f ca="1">IFERROR(IF(LEN(중요_시점[[#This Row],[요일]])=0,"",IF(AND(AZ$7=$E27,$F27=1),중요_시점_표식,"")),"")</f>
        <v/>
      </c>
      <c r="BA27" s="26" t="str">
        <f ca="1">IFERROR(IF(LEN(중요_시점[[#This Row],[요일]])=0,"",IF(AND(BA$7=$E27,$F27=1),중요_시점_표식,"")),"")</f>
        <v/>
      </c>
      <c r="BB27" s="26" t="str">
        <f ca="1">IFERROR(IF(LEN(중요_시점[[#This Row],[요일]])=0,"",IF(AND(BB$7=$E27,$F27=1),중요_시점_표식,"")),"")</f>
        <v/>
      </c>
      <c r="BC27" s="26" t="str">
        <f ca="1">IFERROR(IF(LEN(중요_시점[[#This Row],[요일]])=0,"",IF(AND(BC$7=$E27,$F27=1),중요_시점_표식,"")),"")</f>
        <v/>
      </c>
      <c r="BD27" s="26" t="str">
        <f ca="1">IFERROR(IF(LEN(중요_시점[[#This Row],[요일]])=0,"",IF(AND(BD$7=$E27,$F27=1),중요_시점_표식,"")),"")</f>
        <v/>
      </c>
      <c r="BE27" s="26" t="str">
        <f ca="1">IFERROR(IF(LEN(중요_시점[[#This Row],[요일]])=0,"",IF(AND(BE$7=$E27,$F27=1),중요_시점_표식,"")),"")</f>
        <v/>
      </c>
      <c r="BF27" s="26" t="str">
        <f ca="1">IFERROR(IF(LEN(중요_시점[[#This Row],[요일]])=0,"",IF(AND(BF$7=$E27,$F27=1),중요_시점_표식,"")),"")</f>
        <v/>
      </c>
      <c r="BG27" s="26" t="str">
        <f ca="1">IFERROR(IF(LEN(중요_시점[[#This Row],[요일]])=0,"",IF(AND(BG$7=$E27,$F27=1),중요_시점_표식,"")),"")</f>
        <v/>
      </c>
      <c r="BH27" s="26" t="str">
        <f ca="1">IFERROR(IF(LEN(중요_시점[[#This Row],[요일]])=0,"",IF(AND(BH$7=$E27,$F27=1),중요_시점_표식,"")),"")</f>
        <v/>
      </c>
      <c r="BI27" s="26" t="str">
        <f ca="1">IFERROR(IF(LEN(중요_시점[[#This Row],[요일]])=0,"",IF(AND(BI$7=$E27,$F27=1),중요_시점_표식,"")),"")</f>
        <v/>
      </c>
      <c r="BJ27" s="26" t="str">
        <f ca="1">IFERROR(IF(LEN(중요_시점[[#This Row],[요일]])=0,"",IF(AND(BJ$7=$E27,$F27=1),중요_시점_표식,"")),"")</f>
        <v/>
      </c>
      <c r="BK27" s="26" t="str">
        <f ca="1">IFERROR(IF(LEN(중요_시점[[#This Row],[요일]])=0,"",IF(AND(BK$7=$E27,$F27=1),중요_시점_표식,"")),"")</f>
        <v/>
      </c>
    </row>
    <row r="28" spans="1:63" s="1" customFormat="1" ht="30" customHeight="1">
      <c r="A28" s="5"/>
      <c r="B28" s="40" t="s">
        <v>17</v>
      </c>
      <c r="C28" s="13"/>
      <c r="D28" s="43"/>
      <c r="E28" s="42"/>
      <c r="F28" s="12"/>
      <c r="G28" s="27"/>
      <c r="H28" s="26" t="str">
        <f>IFERROR(IF(LEN(중요_시점[[#This Row],[요일]])=0,"",IF(AND(H$7=$E28,$F28=1),중요_시점_표식,"")),"")</f>
        <v/>
      </c>
      <c r="I28" s="26" t="str">
        <f>IFERROR(IF(LEN(중요_시점[[#This Row],[요일]])=0,"",IF(AND(I$7=$E28,$F28=1),중요_시점_표식,"")),"")</f>
        <v/>
      </c>
      <c r="J28" s="26" t="str">
        <f>IFERROR(IF(LEN(중요_시점[[#This Row],[요일]])=0,"",IF(AND(J$7=$E28,$F28=1),중요_시점_표식,"")),"")</f>
        <v/>
      </c>
      <c r="K28" s="26" t="str">
        <f>IFERROR(IF(LEN(중요_시점[[#This Row],[요일]])=0,"",IF(AND(K$7=$E28,$F28=1),중요_시점_표식,"")),"")</f>
        <v/>
      </c>
      <c r="L28" s="26" t="str">
        <f>IFERROR(IF(LEN(중요_시점[[#This Row],[요일]])=0,"",IF(AND(L$7=$E28,$F28=1),중요_시점_표식,"")),"")</f>
        <v/>
      </c>
      <c r="M28" s="26" t="str">
        <f>IFERROR(IF(LEN(중요_시점[[#This Row],[요일]])=0,"",IF(AND(M$7=$E28,$F28=1),중요_시점_표식,"")),"")</f>
        <v/>
      </c>
      <c r="N28" s="26" t="str">
        <f>IFERROR(IF(LEN(중요_시점[[#This Row],[요일]])=0,"",IF(AND(N$7=$E28,$F28=1),중요_시점_표식,"")),"")</f>
        <v/>
      </c>
      <c r="O28" s="26" t="str">
        <f>IFERROR(IF(LEN(중요_시점[[#This Row],[요일]])=0,"",IF(AND(O$7=$E28,$F28=1),중요_시점_표식,"")),"")</f>
        <v/>
      </c>
      <c r="P28" s="26" t="str">
        <f>IFERROR(IF(LEN(중요_시점[[#This Row],[요일]])=0,"",IF(AND(P$7=$E28,$F28=1),중요_시점_표식,"")),"")</f>
        <v/>
      </c>
      <c r="Q28" s="26" t="str">
        <f>IFERROR(IF(LEN(중요_시점[[#This Row],[요일]])=0,"",IF(AND(Q$7=$E28,$F28=1),중요_시점_표식,"")),"")</f>
        <v/>
      </c>
      <c r="R28" s="26" t="str">
        <f>IFERROR(IF(LEN(중요_시점[[#This Row],[요일]])=0,"",IF(AND(R$7=$E28,$F28=1),중요_시점_표식,"")),"")</f>
        <v/>
      </c>
      <c r="S28" s="26" t="str">
        <f>IFERROR(IF(LEN(중요_시점[[#This Row],[요일]])=0,"",IF(AND(S$7=$E28,$F28=1),중요_시점_표식,"")),"")</f>
        <v/>
      </c>
      <c r="T28" s="26" t="str">
        <f>IFERROR(IF(LEN(중요_시점[[#This Row],[요일]])=0,"",IF(AND(T$7=$E28,$F28=1),중요_시점_표식,"")),"")</f>
        <v/>
      </c>
      <c r="U28" s="26" t="str">
        <f>IFERROR(IF(LEN(중요_시점[[#This Row],[요일]])=0,"",IF(AND(U$7=$E28,$F28=1),중요_시점_표식,"")),"")</f>
        <v/>
      </c>
      <c r="V28" s="26" t="str">
        <f>IFERROR(IF(LEN(중요_시점[[#This Row],[요일]])=0,"",IF(AND(V$7=$E28,$F28=1),중요_시점_표식,"")),"")</f>
        <v/>
      </c>
      <c r="W28" s="26" t="str">
        <f>IFERROR(IF(LEN(중요_시점[[#This Row],[요일]])=0,"",IF(AND(W$7=$E28,$F28=1),중요_시점_표식,"")),"")</f>
        <v/>
      </c>
      <c r="X28" s="26" t="str">
        <f>IFERROR(IF(LEN(중요_시점[[#This Row],[요일]])=0,"",IF(AND(X$7=$E28,$F28=1),중요_시점_표식,"")),"")</f>
        <v/>
      </c>
      <c r="Y28" s="26" t="str">
        <f>IFERROR(IF(LEN(중요_시점[[#This Row],[요일]])=0,"",IF(AND(Y$7=$E28,$F28=1),중요_시점_표식,"")),"")</f>
        <v/>
      </c>
      <c r="Z28" s="26" t="str">
        <f>IFERROR(IF(LEN(중요_시점[[#This Row],[요일]])=0,"",IF(AND(Z$7=$E28,$F28=1),중요_시점_표식,"")),"")</f>
        <v/>
      </c>
      <c r="AA28" s="26" t="str">
        <f>IFERROR(IF(LEN(중요_시점[[#This Row],[요일]])=0,"",IF(AND(AA$7=$E28,$F28=1),중요_시점_표식,"")),"")</f>
        <v/>
      </c>
      <c r="AB28" s="26" t="str">
        <f>IFERROR(IF(LEN(중요_시점[[#This Row],[요일]])=0,"",IF(AND(AB$7=$E28,$F28=1),중요_시점_표식,"")),"")</f>
        <v/>
      </c>
      <c r="AC28" s="26" t="str">
        <f>IFERROR(IF(LEN(중요_시점[[#This Row],[요일]])=0,"",IF(AND(AC$7=$E28,$F28=1),중요_시점_표식,"")),"")</f>
        <v/>
      </c>
      <c r="AD28" s="26" t="str">
        <f>IFERROR(IF(LEN(중요_시점[[#This Row],[요일]])=0,"",IF(AND(AD$7=$E28,$F28=1),중요_시점_표식,"")),"")</f>
        <v/>
      </c>
      <c r="AE28" s="26" t="str">
        <f>IFERROR(IF(LEN(중요_시점[[#This Row],[요일]])=0,"",IF(AND(AE$7=$E28,$F28=1),중요_시점_표식,"")),"")</f>
        <v/>
      </c>
      <c r="AF28" s="26" t="str">
        <f>IFERROR(IF(LEN(중요_시점[[#This Row],[요일]])=0,"",IF(AND(AF$7=$E28,$F28=1),중요_시점_표식,"")),"")</f>
        <v/>
      </c>
      <c r="AG28" s="26" t="str">
        <f>IFERROR(IF(LEN(중요_시점[[#This Row],[요일]])=0,"",IF(AND(AG$7=$E28,$F28=1),중요_시점_표식,"")),"")</f>
        <v/>
      </c>
      <c r="AH28" s="26" t="str">
        <f>IFERROR(IF(LEN(중요_시점[[#This Row],[요일]])=0,"",IF(AND(AH$7=$E28,$F28=1),중요_시점_표식,"")),"")</f>
        <v/>
      </c>
      <c r="AI28" s="26" t="str">
        <f>IFERROR(IF(LEN(중요_시점[[#This Row],[요일]])=0,"",IF(AND(AI$7=$E28,$F28=1),중요_시점_표식,"")),"")</f>
        <v/>
      </c>
      <c r="AJ28" s="26" t="str">
        <f>IFERROR(IF(LEN(중요_시점[[#This Row],[요일]])=0,"",IF(AND(AJ$7=$E28,$F28=1),중요_시점_표식,"")),"")</f>
        <v/>
      </c>
      <c r="AK28" s="26" t="str">
        <f>IFERROR(IF(LEN(중요_시점[[#This Row],[요일]])=0,"",IF(AND(AK$7=$E28,$F28=1),중요_시점_표식,"")),"")</f>
        <v/>
      </c>
      <c r="AL28" s="26" t="str">
        <f>IFERROR(IF(LEN(중요_시점[[#This Row],[요일]])=0,"",IF(AND(AL$7=$E28,$F28=1),중요_시점_표식,"")),"")</f>
        <v/>
      </c>
      <c r="AM28" s="26" t="str">
        <f>IFERROR(IF(LEN(중요_시점[[#This Row],[요일]])=0,"",IF(AND(AM$7=$E28,$F28=1),중요_시점_표식,"")),"")</f>
        <v/>
      </c>
      <c r="AN28" s="26" t="str">
        <f>IFERROR(IF(LEN(중요_시점[[#This Row],[요일]])=0,"",IF(AND(AN$7=$E28,$F28=1),중요_시점_표식,"")),"")</f>
        <v/>
      </c>
      <c r="AO28" s="26" t="str">
        <f>IFERROR(IF(LEN(중요_시점[[#This Row],[요일]])=0,"",IF(AND(AO$7=$E28,$F28=1),중요_시점_표식,"")),"")</f>
        <v/>
      </c>
      <c r="AP28" s="26" t="str">
        <f>IFERROR(IF(LEN(중요_시점[[#This Row],[요일]])=0,"",IF(AND(AP$7=$E28,$F28=1),중요_시점_표식,"")),"")</f>
        <v/>
      </c>
      <c r="AQ28" s="26" t="str">
        <f>IFERROR(IF(LEN(중요_시점[[#This Row],[요일]])=0,"",IF(AND(AQ$7=$E28,$F28=1),중요_시점_표식,"")),"")</f>
        <v/>
      </c>
      <c r="AR28" s="26" t="str">
        <f>IFERROR(IF(LEN(중요_시점[[#This Row],[요일]])=0,"",IF(AND(AR$7=$E28,$F28=1),중요_시점_표식,"")),"")</f>
        <v/>
      </c>
      <c r="AS28" s="26" t="str">
        <f>IFERROR(IF(LEN(중요_시점[[#This Row],[요일]])=0,"",IF(AND(AS$7=$E28,$F28=1),중요_시점_표식,"")),"")</f>
        <v/>
      </c>
      <c r="AT28" s="26" t="str">
        <f>IFERROR(IF(LEN(중요_시점[[#This Row],[요일]])=0,"",IF(AND(AT$7=$E28,$F28=1),중요_시점_표식,"")),"")</f>
        <v/>
      </c>
      <c r="AU28" s="26" t="str">
        <f>IFERROR(IF(LEN(중요_시점[[#This Row],[요일]])=0,"",IF(AND(AU$7=$E28,$F28=1),중요_시점_표식,"")),"")</f>
        <v/>
      </c>
      <c r="AV28" s="26" t="str">
        <f>IFERROR(IF(LEN(중요_시점[[#This Row],[요일]])=0,"",IF(AND(AV$7=$E28,$F28=1),중요_시점_표식,"")),"")</f>
        <v/>
      </c>
      <c r="AW28" s="26" t="str">
        <f>IFERROR(IF(LEN(중요_시점[[#This Row],[요일]])=0,"",IF(AND(AW$7=$E28,$F28=1),중요_시점_표식,"")),"")</f>
        <v/>
      </c>
      <c r="AX28" s="26" t="str">
        <f>IFERROR(IF(LEN(중요_시점[[#This Row],[요일]])=0,"",IF(AND(AX$7=$E28,$F28=1),중요_시점_표식,"")),"")</f>
        <v/>
      </c>
      <c r="AY28" s="26" t="str">
        <f>IFERROR(IF(LEN(중요_시점[[#This Row],[요일]])=0,"",IF(AND(AY$7=$E28,$F28=1),중요_시점_표식,"")),"")</f>
        <v/>
      </c>
      <c r="AZ28" s="26" t="str">
        <f>IFERROR(IF(LEN(중요_시점[[#This Row],[요일]])=0,"",IF(AND(AZ$7=$E28,$F28=1),중요_시점_표식,"")),"")</f>
        <v/>
      </c>
      <c r="BA28" s="26" t="str">
        <f>IFERROR(IF(LEN(중요_시점[[#This Row],[요일]])=0,"",IF(AND(BA$7=$E28,$F28=1),중요_시점_표식,"")),"")</f>
        <v/>
      </c>
      <c r="BB28" s="26" t="str">
        <f>IFERROR(IF(LEN(중요_시점[[#This Row],[요일]])=0,"",IF(AND(BB$7=$E28,$F28=1),중요_시점_표식,"")),"")</f>
        <v/>
      </c>
      <c r="BC28" s="26" t="str">
        <f>IFERROR(IF(LEN(중요_시점[[#This Row],[요일]])=0,"",IF(AND(BC$7=$E28,$F28=1),중요_시점_표식,"")),"")</f>
        <v/>
      </c>
      <c r="BD28" s="26" t="str">
        <f>IFERROR(IF(LEN(중요_시점[[#This Row],[요일]])=0,"",IF(AND(BD$7=$E28,$F28=1),중요_시점_표식,"")),"")</f>
        <v/>
      </c>
      <c r="BE28" s="26" t="str">
        <f>IFERROR(IF(LEN(중요_시점[[#This Row],[요일]])=0,"",IF(AND(BE$7=$E28,$F28=1),중요_시점_표식,"")),"")</f>
        <v/>
      </c>
      <c r="BF28" s="26" t="str">
        <f>IFERROR(IF(LEN(중요_시점[[#This Row],[요일]])=0,"",IF(AND(BF$7=$E28,$F28=1),중요_시점_표식,"")),"")</f>
        <v/>
      </c>
      <c r="BG28" s="26" t="str">
        <f>IFERROR(IF(LEN(중요_시점[[#This Row],[요일]])=0,"",IF(AND(BG$7=$E28,$F28=1),중요_시점_표식,"")),"")</f>
        <v/>
      </c>
      <c r="BH28" s="26" t="str">
        <f>IFERROR(IF(LEN(중요_시점[[#This Row],[요일]])=0,"",IF(AND(BH$7=$E28,$F28=1),중요_시점_표식,"")),"")</f>
        <v/>
      </c>
      <c r="BI28" s="26" t="str">
        <f>IFERROR(IF(LEN(중요_시점[[#This Row],[요일]])=0,"",IF(AND(BI$7=$E28,$F28=1),중요_시점_표식,"")),"")</f>
        <v/>
      </c>
      <c r="BJ28" s="26" t="str">
        <f>IFERROR(IF(LEN(중요_시점[[#This Row],[요일]])=0,"",IF(AND(BJ$7=$E28,$F28=1),중요_시점_표식,"")),"")</f>
        <v/>
      </c>
      <c r="BK28" s="26" t="str">
        <f>IFERROR(IF(LEN(중요_시점[[#This Row],[요일]])=0,"",IF(AND(BK$7=$E28,$F28=1),중요_시점_표식,"")),"")</f>
        <v/>
      </c>
    </row>
    <row r="29" spans="1:63" s="1" customFormat="1" ht="30" customHeight="1" outlineLevel="1">
      <c r="A29" s="5"/>
      <c r="B29" s="49" t="s">
        <v>10</v>
      </c>
      <c r="C29" s="13"/>
      <c r="D29" s="43"/>
      <c r="E29" s="42">
        <f ca="1">TODAY()+37</f>
        <v>44625</v>
      </c>
      <c r="F29" s="12">
        <v>15</v>
      </c>
      <c r="G29" s="27"/>
      <c r="H29" s="26" t="str">
        <f ca="1">IFERROR(IF(LEN(중요_시점[[#This Row],[요일]])=0,"",IF(AND(H$7=$E29,$F29=1),중요_시점_표식,"")),"")</f>
        <v/>
      </c>
      <c r="I29" s="26" t="str">
        <f ca="1">IFERROR(IF(LEN(중요_시점[[#This Row],[요일]])=0,"",IF(AND(I$7=$E29,$F29=1),중요_시점_표식,"")),"")</f>
        <v/>
      </c>
      <c r="J29" s="26" t="str">
        <f ca="1">IFERROR(IF(LEN(중요_시점[[#This Row],[요일]])=0,"",IF(AND(J$7=$E29,$F29=1),중요_시점_표식,"")),"")</f>
        <v/>
      </c>
      <c r="K29" s="26" t="str">
        <f ca="1">IFERROR(IF(LEN(중요_시점[[#This Row],[요일]])=0,"",IF(AND(K$7=$E29,$F29=1),중요_시점_표식,"")),"")</f>
        <v/>
      </c>
      <c r="L29" s="26" t="str">
        <f ca="1">IFERROR(IF(LEN(중요_시점[[#This Row],[요일]])=0,"",IF(AND(L$7=$E29,$F29=1),중요_시점_표식,"")),"")</f>
        <v/>
      </c>
      <c r="M29" s="26" t="str">
        <f ca="1">IFERROR(IF(LEN(중요_시점[[#This Row],[요일]])=0,"",IF(AND(M$7=$E29,$F29=1),중요_시점_표식,"")),"")</f>
        <v/>
      </c>
      <c r="N29" s="26" t="str">
        <f ca="1">IFERROR(IF(LEN(중요_시점[[#This Row],[요일]])=0,"",IF(AND(N$7=$E29,$F29=1),중요_시점_표식,"")),"")</f>
        <v/>
      </c>
      <c r="O29" s="26" t="str">
        <f ca="1">IFERROR(IF(LEN(중요_시점[[#This Row],[요일]])=0,"",IF(AND(O$7=$E29,$F29=1),중요_시점_표식,"")),"")</f>
        <v/>
      </c>
      <c r="P29" s="26" t="str">
        <f ca="1">IFERROR(IF(LEN(중요_시점[[#This Row],[요일]])=0,"",IF(AND(P$7=$E29,$F29=1),중요_시점_표식,"")),"")</f>
        <v/>
      </c>
      <c r="Q29" s="26" t="str">
        <f ca="1">IFERROR(IF(LEN(중요_시점[[#This Row],[요일]])=0,"",IF(AND(Q$7=$E29,$F29=1),중요_시점_표식,"")),"")</f>
        <v/>
      </c>
      <c r="R29" s="26" t="str">
        <f ca="1">IFERROR(IF(LEN(중요_시점[[#This Row],[요일]])=0,"",IF(AND(R$7=$E29,$F29=1),중요_시점_표식,"")),"")</f>
        <v/>
      </c>
      <c r="S29" s="26" t="str">
        <f ca="1">IFERROR(IF(LEN(중요_시점[[#This Row],[요일]])=0,"",IF(AND(S$7=$E29,$F29=1),중요_시점_표식,"")),"")</f>
        <v/>
      </c>
      <c r="T29" s="26" t="str">
        <f ca="1">IFERROR(IF(LEN(중요_시점[[#This Row],[요일]])=0,"",IF(AND(T$7=$E29,$F29=1),중요_시점_표식,"")),"")</f>
        <v/>
      </c>
      <c r="U29" s="26" t="str">
        <f ca="1">IFERROR(IF(LEN(중요_시점[[#This Row],[요일]])=0,"",IF(AND(U$7=$E29,$F29=1),중요_시점_표식,"")),"")</f>
        <v/>
      </c>
      <c r="V29" s="26" t="str">
        <f ca="1">IFERROR(IF(LEN(중요_시점[[#This Row],[요일]])=0,"",IF(AND(V$7=$E29,$F29=1),중요_시점_표식,"")),"")</f>
        <v/>
      </c>
      <c r="W29" s="26" t="str">
        <f ca="1">IFERROR(IF(LEN(중요_시점[[#This Row],[요일]])=0,"",IF(AND(W$7=$E29,$F29=1),중요_시점_표식,"")),"")</f>
        <v/>
      </c>
      <c r="X29" s="26" t="str">
        <f ca="1">IFERROR(IF(LEN(중요_시점[[#This Row],[요일]])=0,"",IF(AND(X$7=$E29,$F29=1),중요_시점_표식,"")),"")</f>
        <v/>
      </c>
      <c r="Y29" s="26" t="str">
        <f ca="1">IFERROR(IF(LEN(중요_시점[[#This Row],[요일]])=0,"",IF(AND(Y$7=$E29,$F29=1),중요_시점_표식,"")),"")</f>
        <v/>
      </c>
      <c r="Z29" s="26" t="str">
        <f ca="1">IFERROR(IF(LEN(중요_시점[[#This Row],[요일]])=0,"",IF(AND(Z$7=$E29,$F29=1),중요_시점_표식,"")),"")</f>
        <v/>
      </c>
      <c r="AA29" s="26" t="str">
        <f ca="1">IFERROR(IF(LEN(중요_시점[[#This Row],[요일]])=0,"",IF(AND(AA$7=$E29,$F29=1),중요_시점_표식,"")),"")</f>
        <v/>
      </c>
      <c r="AB29" s="26" t="str">
        <f ca="1">IFERROR(IF(LEN(중요_시점[[#This Row],[요일]])=0,"",IF(AND(AB$7=$E29,$F29=1),중요_시점_표식,"")),"")</f>
        <v/>
      </c>
      <c r="AC29" s="26" t="str">
        <f ca="1">IFERROR(IF(LEN(중요_시점[[#This Row],[요일]])=0,"",IF(AND(AC$7=$E29,$F29=1),중요_시점_표식,"")),"")</f>
        <v/>
      </c>
      <c r="AD29" s="26" t="str">
        <f ca="1">IFERROR(IF(LEN(중요_시점[[#This Row],[요일]])=0,"",IF(AND(AD$7=$E29,$F29=1),중요_시점_표식,"")),"")</f>
        <v/>
      </c>
      <c r="AE29" s="26" t="str">
        <f ca="1">IFERROR(IF(LEN(중요_시점[[#This Row],[요일]])=0,"",IF(AND(AE$7=$E29,$F29=1),중요_시점_표식,"")),"")</f>
        <v/>
      </c>
      <c r="AF29" s="26" t="str">
        <f ca="1">IFERROR(IF(LEN(중요_시점[[#This Row],[요일]])=0,"",IF(AND(AF$7=$E29,$F29=1),중요_시점_표식,"")),"")</f>
        <v/>
      </c>
      <c r="AG29" s="26" t="str">
        <f ca="1">IFERROR(IF(LEN(중요_시점[[#This Row],[요일]])=0,"",IF(AND(AG$7=$E29,$F29=1),중요_시점_표식,"")),"")</f>
        <v/>
      </c>
      <c r="AH29" s="26" t="str">
        <f ca="1">IFERROR(IF(LEN(중요_시점[[#This Row],[요일]])=0,"",IF(AND(AH$7=$E29,$F29=1),중요_시점_표식,"")),"")</f>
        <v/>
      </c>
      <c r="AI29" s="26" t="str">
        <f ca="1">IFERROR(IF(LEN(중요_시점[[#This Row],[요일]])=0,"",IF(AND(AI$7=$E29,$F29=1),중요_시점_표식,"")),"")</f>
        <v/>
      </c>
      <c r="AJ29" s="26" t="str">
        <f ca="1">IFERROR(IF(LEN(중요_시점[[#This Row],[요일]])=0,"",IF(AND(AJ$7=$E29,$F29=1),중요_시점_표식,"")),"")</f>
        <v/>
      </c>
      <c r="AK29" s="26" t="str">
        <f ca="1">IFERROR(IF(LEN(중요_시점[[#This Row],[요일]])=0,"",IF(AND(AK$7=$E29,$F29=1),중요_시점_표식,"")),"")</f>
        <v/>
      </c>
      <c r="AL29" s="26" t="str">
        <f ca="1">IFERROR(IF(LEN(중요_시점[[#This Row],[요일]])=0,"",IF(AND(AL$7=$E29,$F29=1),중요_시점_표식,"")),"")</f>
        <v/>
      </c>
      <c r="AM29" s="26" t="str">
        <f ca="1">IFERROR(IF(LEN(중요_시점[[#This Row],[요일]])=0,"",IF(AND(AM$7=$E29,$F29=1),중요_시점_표식,"")),"")</f>
        <v/>
      </c>
      <c r="AN29" s="26" t="str">
        <f ca="1">IFERROR(IF(LEN(중요_시점[[#This Row],[요일]])=0,"",IF(AND(AN$7=$E29,$F29=1),중요_시점_표식,"")),"")</f>
        <v/>
      </c>
      <c r="AO29" s="26" t="str">
        <f ca="1">IFERROR(IF(LEN(중요_시점[[#This Row],[요일]])=0,"",IF(AND(AO$7=$E29,$F29=1),중요_시점_표식,"")),"")</f>
        <v/>
      </c>
      <c r="AP29" s="26" t="str">
        <f ca="1">IFERROR(IF(LEN(중요_시점[[#This Row],[요일]])=0,"",IF(AND(AP$7=$E29,$F29=1),중요_시점_표식,"")),"")</f>
        <v/>
      </c>
      <c r="AQ29" s="26" t="str">
        <f ca="1">IFERROR(IF(LEN(중요_시점[[#This Row],[요일]])=0,"",IF(AND(AQ$7=$E29,$F29=1),중요_시점_표식,"")),"")</f>
        <v/>
      </c>
      <c r="AR29" s="26" t="str">
        <f ca="1">IFERROR(IF(LEN(중요_시점[[#This Row],[요일]])=0,"",IF(AND(AR$7=$E29,$F29=1),중요_시점_표식,"")),"")</f>
        <v/>
      </c>
      <c r="AS29" s="26" t="str">
        <f ca="1">IFERROR(IF(LEN(중요_시점[[#This Row],[요일]])=0,"",IF(AND(AS$7=$E29,$F29=1),중요_시점_표식,"")),"")</f>
        <v/>
      </c>
      <c r="AT29" s="26" t="str">
        <f ca="1">IFERROR(IF(LEN(중요_시점[[#This Row],[요일]])=0,"",IF(AND(AT$7=$E29,$F29=1),중요_시점_표식,"")),"")</f>
        <v/>
      </c>
      <c r="AU29" s="26" t="str">
        <f ca="1">IFERROR(IF(LEN(중요_시점[[#This Row],[요일]])=0,"",IF(AND(AU$7=$E29,$F29=1),중요_시점_표식,"")),"")</f>
        <v/>
      </c>
      <c r="AV29" s="26" t="str">
        <f ca="1">IFERROR(IF(LEN(중요_시점[[#This Row],[요일]])=0,"",IF(AND(AV$7=$E29,$F29=1),중요_시점_표식,"")),"")</f>
        <v/>
      </c>
      <c r="AW29" s="26" t="str">
        <f ca="1">IFERROR(IF(LEN(중요_시점[[#This Row],[요일]])=0,"",IF(AND(AW$7=$E29,$F29=1),중요_시점_표식,"")),"")</f>
        <v/>
      </c>
      <c r="AX29" s="26" t="str">
        <f ca="1">IFERROR(IF(LEN(중요_시점[[#This Row],[요일]])=0,"",IF(AND(AX$7=$E29,$F29=1),중요_시점_표식,"")),"")</f>
        <v/>
      </c>
      <c r="AY29" s="26" t="str">
        <f ca="1">IFERROR(IF(LEN(중요_시점[[#This Row],[요일]])=0,"",IF(AND(AY$7=$E29,$F29=1),중요_시점_표식,"")),"")</f>
        <v/>
      </c>
      <c r="AZ29" s="26" t="str">
        <f ca="1">IFERROR(IF(LEN(중요_시점[[#This Row],[요일]])=0,"",IF(AND(AZ$7=$E29,$F29=1),중요_시점_표식,"")),"")</f>
        <v/>
      </c>
      <c r="BA29" s="26" t="str">
        <f ca="1">IFERROR(IF(LEN(중요_시점[[#This Row],[요일]])=0,"",IF(AND(BA$7=$E29,$F29=1),중요_시점_표식,"")),"")</f>
        <v/>
      </c>
      <c r="BB29" s="26" t="str">
        <f ca="1">IFERROR(IF(LEN(중요_시점[[#This Row],[요일]])=0,"",IF(AND(BB$7=$E29,$F29=1),중요_시점_표식,"")),"")</f>
        <v/>
      </c>
      <c r="BC29" s="26" t="str">
        <f ca="1">IFERROR(IF(LEN(중요_시점[[#This Row],[요일]])=0,"",IF(AND(BC$7=$E29,$F29=1),중요_시점_표식,"")),"")</f>
        <v/>
      </c>
      <c r="BD29" s="26" t="str">
        <f ca="1">IFERROR(IF(LEN(중요_시점[[#This Row],[요일]])=0,"",IF(AND(BD$7=$E29,$F29=1),중요_시점_표식,"")),"")</f>
        <v/>
      </c>
      <c r="BE29" s="26" t="str">
        <f ca="1">IFERROR(IF(LEN(중요_시점[[#This Row],[요일]])=0,"",IF(AND(BE$7=$E29,$F29=1),중요_시점_표식,"")),"")</f>
        <v/>
      </c>
      <c r="BF29" s="26" t="str">
        <f ca="1">IFERROR(IF(LEN(중요_시점[[#This Row],[요일]])=0,"",IF(AND(BF$7=$E29,$F29=1),중요_시점_표식,"")),"")</f>
        <v/>
      </c>
      <c r="BG29" s="26" t="str">
        <f ca="1">IFERROR(IF(LEN(중요_시점[[#This Row],[요일]])=0,"",IF(AND(BG$7=$E29,$F29=1),중요_시점_표식,"")),"")</f>
        <v/>
      </c>
      <c r="BH29" s="26" t="str">
        <f ca="1">IFERROR(IF(LEN(중요_시점[[#This Row],[요일]])=0,"",IF(AND(BH$7=$E29,$F29=1),중요_시점_표식,"")),"")</f>
        <v/>
      </c>
      <c r="BI29" s="26" t="str">
        <f ca="1">IFERROR(IF(LEN(중요_시점[[#This Row],[요일]])=0,"",IF(AND(BI$7=$E29,$F29=1),중요_시점_표식,"")),"")</f>
        <v/>
      </c>
      <c r="BJ29" s="26" t="str">
        <f ca="1">IFERROR(IF(LEN(중요_시점[[#This Row],[요일]])=0,"",IF(AND(BJ$7=$E29,$F29=1),중요_시점_표식,"")),"")</f>
        <v/>
      </c>
      <c r="BK29" s="26" t="str">
        <f ca="1">IFERROR(IF(LEN(중요_시점[[#This Row],[요일]])=0,"",IF(AND(BK$7=$E29,$F29=1),중요_시점_표식,"")),"")</f>
        <v/>
      </c>
    </row>
    <row r="30" spans="1:63" s="1" customFormat="1" ht="30" customHeight="1" outlineLevel="1">
      <c r="A30" s="5"/>
      <c r="B30" s="49" t="s">
        <v>11</v>
      </c>
      <c r="C30" s="13"/>
      <c r="D30" s="43"/>
      <c r="E30" s="42">
        <f ca="1">TODAY()+29</f>
        <v>44617</v>
      </c>
      <c r="F30" s="12">
        <v>5</v>
      </c>
      <c r="G30" s="27"/>
      <c r="H30" s="26" t="str">
        <f ca="1">IFERROR(IF(LEN(중요_시점[[#This Row],[요일]])=0,"",IF(AND(H$7=$E30,$F30=1),중요_시점_표식,"")),"")</f>
        <v/>
      </c>
      <c r="I30" s="26" t="str">
        <f ca="1">IFERROR(IF(LEN(중요_시점[[#This Row],[요일]])=0,"",IF(AND(I$7=$E30,$F30=1),중요_시점_표식,"")),"")</f>
        <v/>
      </c>
      <c r="J30" s="26" t="str">
        <f ca="1">IFERROR(IF(LEN(중요_시점[[#This Row],[요일]])=0,"",IF(AND(J$7=$E30,$F30=1),중요_시점_표식,"")),"")</f>
        <v/>
      </c>
      <c r="K30" s="26" t="str">
        <f ca="1">IFERROR(IF(LEN(중요_시점[[#This Row],[요일]])=0,"",IF(AND(K$7=$E30,$F30=1),중요_시점_표식,"")),"")</f>
        <v/>
      </c>
      <c r="L30" s="26" t="str">
        <f ca="1">IFERROR(IF(LEN(중요_시점[[#This Row],[요일]])=0,"",IF(AND(L$7=$E30,$F30=1),중요_시점_표식,"")),"")</f>
        <v/>
      </c>
      <c r="M30" s="26" t="str">
        <f ca="1">IFERROR(IF(LEN(중요_시점[[#This Row],[요일]])=0,"",IF(AND(M$7=$E30,$F30=1),중요_시점_표식,"")),"")</f>
        <v/>
      </c>
      <c r="N30" s="26" t="str">
        <f ca="1">IFERROR(IF(LEN(중요_시점[[#This Row],[요일]])=0,"",IF(AND(N$7=$E30,$F30=1),중요_시점_표식,"")),"")</f>
        <v/>
      </c>
      <c r="O30" s="26" t="str">
        <f ca="1">IFERROR(IF(LEN(중요_시점[[#This Row],[요일]])=0,"",IF(AND(O$7=$E30,$F30=1),중요_시점_표식,"")),"")</f>
        <v/>
      </c>
      <c r="P30" s="26" t="str">
        <f ca="1">IFERROR(IF(LEN(중요_시점[[#This Row],[요일]])=0,"",IF(AND(P$7=$E30,$F30=1),중요_시점_표식,"")),"")</f>
        <v/>
      </c>
      <c r="Q30" s="26" t="str">
        <f ca="1">IFERROR(IF(LEN(중요_시점[[#This Row],[요일]])=0,"",IF(AND(Q$7=$E30,$F30=1),중요_시점_표식,"")),"")</f>
        <v/>
      </c>
      <c r="R30" s="26" t="str">
        <f ca="1">IFERROR(IF(LEN(중요_시점[[#This Row],[요일]])=0,"",IF(AND(R$7=$E30,$F30=1),중요_시점_표식,"")),"")</f>
        <v/>
      </c>
      <c r="S30" s="26" t="str">
        <f ca="1">IFERROR(IF(LEN(중요_시점[[#This Row],[요일]])=0,"",IF(AND(S$7=$E30,$F30=1),중요_시점_표식,"")),"")</f>
        <v/>
      </c>
      <c r="T30" s="26" t="str">
        <f ca="1">IFERROR(IF(LEN(중요_시점[[#This Row],[요일]])=0,"",IF(AND(T$7=$E30,$F30=1),중요_시점_표식,"")),"")</f>
        <v/>
      </c>
      <c r="U30" s="26" t="str">
        <f ca="1">IFERROR(IF(LEN(중요_시점[[#This Row],[요일]])=0,"",IF(AND(U$7=$E30,$F30=1),중요_시점_표식,"")),"")</f>
        <v/>
      </c>
      <c r="V30" s="26" t="str">
        <f ca="1">IFERROR(IF(LEN(중요_시점[[#This Row],[요일]])=0,"",IF(AND(V$7=$E30,$F30=1),중요_시점_표식,"")),"")</f>
        <v/>
      </c>
      <c r="W30" s="26" t="str">
        <f ca="1">IFERROR(IF(LEN(중요_시점[[#This Row],[요일]])=0,"",IF(AND(W$7=$E30,$F30=1),중요_시점_표식,"")),"")</f>
        <v/>
      </c>
      <c r="X30" s="26" t="str">
        <f ca="1">IFERROR(IF(LEN(중요_시점[[#This Row],[요일]])=0,"",IF(AND(X$7=$E30,$F30=1),중요_시점_표식,"")),"")</f>
        <v/>
      </c>
      <c r="Y30" s="26" t="str">
        <f ca="1">IFERROR(IF(LEN(중요_시점[[#This Row],[요일]])=0,"",IF(AND(Y$7=$E30,$F30=1),중요_시점_표식,"")),"")</f>
        <v/>
      </c>
      <c r="Z30" s="26" t="str">
        <f ca="1">IFERROR(IF(LEN(중요_시점[[#This Row],[요일]])=0,"",IF(AND(Z$7=$E30,$F30=1),중요_시점_표식,"")),"")</f>
        <v/>
      </c>
      <c r="AA30" s="26" t="str">
        <f ca="1">IFERROR(IF(LEN(중요_시점[[#This Row],[요일]])=0,"",IF(AND(AA$7=$E30,$F30=1),중요_시점_표식,"")),"")</f>
        <v/>
      </c>
      <c r="AB30" s="26" t="str">
        <f ca="1">IFERROR(IF(LEN(중요_시점[[#This Row],[요일]])=0,"",IF(AND(AB$7=$E30,$F30=1),중요_시점_표식,"")),"")</f>
        <v/>
      </c>
      <c r="AC30" s="26" t="str">
        <f ca="1">IFERROR(IF(LEN(중요_시점[[#This Row],[요일]])=0,"",IF(AND(AC$7=$E30,$F30=1),중요_시점_표식,"")),"")</f>
        <v/>
      </c>
      <c r="AD30" s="26" t="str">
        <f ca="1">IFERROR(IF(LEN(중요_시점[[#This Row],[요일]])=0,"",IF(AND(AD$7=$E30,$F30=1),중요_시점_표식,"")),"")</f>
        <v/>
      </c>
      <c r="AE30" s="26" t="str">
        <f ca="1">IFERROR(IF(LEN(중요_시점[[#This Row],[요일]])=0,"",IF(AND(AE$7=$E30,$F30=1),중요_시점_표식,"")),"")</f>
        <v/>
      </c>
      <c r="AF30" s="26" t="str">
        <f ca="1">IFERROR(IF(LEN(중요_시점[[#This Row],[요일]])=0,"",IF(AND(AF$7=$E30,$F30=1),중요_시점_표식,"")),"")</f>
        <v/>
      </c>
      <c r="AG30" s="26" t="str">
        <f ca="1">IFERROR(IF(LEN(중요_시점[[#This Row],[요일]])=0,"",IF(AND(AG$7=$E30,$F30=1),중요_시점_표식,"")),"")</f>
        <v/>
      </c>
      <c r="AH30" s="26" t="str">
        <f ca="1">IFERROR(IF(LEN(중요_시점[[#This Row],[요일]])=0,"",IF(AND(AH$7=$E30,$F30=1),중요_시점_표식,"")),"")</f>
        <v/>
      </c>
      <c r="AI30" s="26" t="str">
        <f ca="1">IFERROR(IF(LEN(중요_시점[[#This Row],[요일]])=0,"",IF(AND(AI$7=$E30,$F30=1),중요_시점_표식,"")),"")</f>
        <v/>
      </c>
      <c r="AJ30" s="26" t="str">
        <f ca="1">IFERROR(IF(LEN(중요_시점[[#This Row],[요일]])=0,"",IF(AND(AJ$7=$E30,$F30=1),중요_시점_표식,"")),"")</f>
        <v/>
      </c>
      <c r="AK30" s="26" t="str">
        <f ca="1">IFERROR(IF(LEN(중요_시점[[#This Row],[요일]])=0,"",IF(AND(AK$7=$E30,$F30=1),중요_시점_표식,"")),"")</f>
        <v/>
      </c>
      <c r="AL30" s="26" t="str">
        <f ca="1">IFERROR(IF(LEN(중요_시점[[#This Row],[요일]])=0,"",IF(AND(AL$7=$E30,$F30=1),중요_시점_표식,"")),"")</f>
        <v/>
      </c>
      <c r="AM30" s="26" t="str">
        <f ca="1">IFERROR(IF(LEN(중요_시점[[#This Row],[요일]])=0,"",IF(AND(AM$7=$E30,$F30=1),중요_시점_표식,"")),"")</f>
        <v/>
      </c>
      <c r="AN30" s="26" t="str">
        <f ca="1">IFERROR(IF(LEN(중요_시점[[#This Row],[요일]])=0,"",IF(AND(AN$7=$E30,$F30=1),중요_시점_표식,"")),"")</f>
        <v/>
      </c>
      <c r="AO30" s="26" t="str">
        <f ca="1">IFERROR(IF(LEN(중요_시점[[#This Row],[요일]])=0,"",IF(AND(AO$7=$E30,$F30=1),중요_시점_표식,"")),"")</f>
        <v/>
      </c>
      <c r="AP30" s="26" t="str">
        <f ca="1">IFERROR(IF(LEN(중요_시점[[#This Row],[요일]])=0,"",IF(AND(AP$7=$E30,$F30=1),중요_시점_표식,"")),"")</f>
        <v/>
      </c>
      <c r="AQ30" s="26" t="str">
        <f ca="1">IFERROR(IF(LEN(중요_시점[[#This Row],[요일]])=0,"",IF(AND(AQ$7=$E30,$F30=1),중요_시점_표식,"")),"")</f>
        <v/>
      </c>
      <c r="AR30" s="26" t="str">
        <f ca="1">IFERROR(IF(LEN(중요_시점[[#This Row],[요일]])=0,"",IF(AND(AR$7=$E30,$F30=1),중요_시점_표식,"")),"")</f>
        <v/>
      </c>
      <c r="AS30" s="26" t="str">
        <f ca="1">IFERROR(IF(LEN(중요_시점[[#This Row],[요일]])=0,"",IF(AND(AS$7=$E30,$F30=1),중요_시점_표식,"")),"")</f>
        <v/>
      </c>
      <c r="AT30" s="26" t="str">
        <f ca="1">IFERROR(IF(LEN(중요_시점[[#This Row],[요일]])=0,"",IF(AND(AT$7=$E30,$F30=1),중요_시점_표식,"")),"")</f>
        <v/>
      </c>
      <c r="AU30" s="26" t="str">
        <f ca="1">IFERROR(IF(LEN(중요_시점[[#This Row],[요일]])=0,"",IF(AND(AU$7=$E30,$F30=1),중요_시점_표식,"")),"")</f>
        <v/>
      </c>
      <c r="AV30" s="26" t="str">
        <f ca="1">IFERROR(IF(LEN(중요_시점[[#This Row],[요일]])=0,"",IF(AND(AV$7=$E30,$F30=1),중요_시점_표식,"")),"")</f>
        <v/>
      </c>
      <c r="AW30" s="26" t="str">
        <f ca="1">IFERROR(IF(LEN(중요_시점[[#This Row],[요일]])=0,"",IF(AND(AW$7=$E30,$F30=1),중요_시점_표식,"")),"")</f>
        <v/>
      </c>
      <c r="AX30" s="26" t="str">
        <f ca="1">IFERROR(IF(LEN(중요_시점[[#This Row],[요일]])=0,"",IF(AND(AX$7=$E30,$F30=1),중요_시점_표식,"")),"")</f>
        <v/>
      </c>
      <c r="AY30" s="26" t="str">
        <f ca="1">IFERROR(IF(LEN(중요_시점[[#This Row],[요일]])=0,"",IF(AND(AY$7=$E30,$F30=1),중요_시점_표식,"")),"")</f>
        <v/>
      </c>
      <c r="AZ30" s="26" t="str">
        <f ca="1">IFERROR(IF(LEN(중요_시점[[#This Row],[요일]])=0,"",IF(AND(AZ$7=$E30,$F30=1),중요_시점_표식,"")),"")</f>
        <v/>
      </c>
      <c r="BA30" s="26" t="str">
        <f ca="1">IFERROR(IF(LEN(중요_시점[[#This Row],[요일]])=0,"",IF(AND(BA$7=$E30,$F30=1),중요_시점_표식,"")),"")</f>
        <v/>
      </c>
      <c r="BB30" s="26" t="str">
        <f ca="1">IFERROR(IF(LEN(중요_시점[[#This Row],[요일]])=0,"",IF(AND(BB$7=$E30,$F30=1),중요_시점_표식,"")),"")</f>
        <v/>
      </c>
      <c r="BC30" s="26" t="str">
        <f ca="1">IFERROR(IF(LEN(중요_시점[[#This Row],[요일]])=0,"",IF(AND(BC$7=$E30,$F30=1),중요_시점_표식,"")),"")</f>
        <v/>
      </c>
      <c r="BD30" s="26" t="str">
        <f ca="1">IFERROR(IF(LEN(중요_시점[[#This Row],[요일]])=0,"",IF(AND(BD$7=$E30,$F30=1),중요_시점_표식,"")),"")</f>
        <v/>
      </c>
      <c r="BE30" s="26" t="str">
        <f ca="1">IFERROR(IF(LEN(중요_시점[[#This Row],[요일]])=0,"",IF(AND(BE$7=$E30,$F30=1),중요_시점_표식,"")),"")</f>
        <v/>
      </c>
      <c r="BF30" s="26" t="str">
        <f ca="1">IFERROR(IF(LEN(중요_시점[[#This Row],[요일]])=0,"",IF(AND(BF$7=$E30,$F30=1),중요_시점_표식,"")),"")</f>
        <v/>
      </c>
      <c r="BG30" s="26" t="str">
        <f ca="1">IFERROR(IF(LEN(중요_시점[[#This Row],[요일]])=0,"",IF(AND(BG$7=$E30,$F30=1),중요_시점_표식,"")),"")</f>
        <v/>
      </c>
      <c r="BH30" s="26" t="str">
        <f ca="1">IFERROR(IF(LEN(중요_시점[[#This Row],[요일]])=0,"",IF(AND(BH$7=$E30,$F30=1),중요_시점_표식,"")),"")</f>
        <v/>
      </c>
      <c r="BI30" s="26" t="str">
        <f ca="1">IFERROR(IF(LEN(중요_시점[[#This Row],[요일]])=0,"",IF(AND(BI$7=$E30,$F30=1),중요_시점_표식,"")),"")</f>
        <v/>
      </c>
      <c r="BJ30" s="26" t="str">
        <f ca="1">IFERROR(IF(LEN(중요_시점[[#This Row],[요일]])=0,"",IF(AND(BJ$7=$E30,$F30=1),중요_시점_표식,"")),"")</f>
        <v/>
      </c>
      <c r="BK30" s="26" t="str">
        <f ca="1">IFERROR(IF(LEN(중요_시점[[#This Row],[요일]])=0,"",IF(AND(BK$7=$E30,$F30=1),중요_시점_표식,"")),"")</f>
        <v/>
      </c>
    </row>
    <row r="31" spans="1:63" s="1" customFormat="1" ht="30" customHeight="1" outlineLevel="1">
      <c r="A31" s="5"/>
      <c r="B31" s="49" t="s">
        <v>12</v>
      </c>
      <c r="C31" s="13"/>
      <c r="D31" s="43"/>
      <c r="E31" s="42">
        <f ca="1">TODAY()+80</f>
        <v>44668</v>
      </c>
      <c r="F31" s="12">
        <v>5</v>
      </c>
      <c r="G31" s="27"/>
      <c r="H31" s="26" t="str">
        <f ca="1">IFERROR(IF(LEN(중요_시점[[#This Row],[요일]])=0,"",IF(AND(H$7=$E31,$F31=1),중요_시점_표식,"")),"")</f>
        <v/>
      </c>
      <c r="I31" s="26" t="str">
        <f ca="1">IFERROR(IF(LEN(중요_시점[[#This Row],[요일]])=0,"",IF(AND(I$7=$E31,$F31=1),중요_시점_표식,"")),"")</f>
        <v/>
      </c>
      <c r="J31" s="26" t="str">
        <f ca="1">IFERROR(IF(LEN(중요_시점[[#This Row],[요일]])=0,"",IF(AND(J$7=$E31,$F31=1),중요_시점_표식,"")),"")</f>
        <v/>
      </c>
      <c r="K31" s="26" t="str">
        <f ca="1">IFERROR(IF(LEN(중요_시점[[#This Row],[요일]])=0,"",IF(AND(K$7=$E31,$F31=1),중요_시점_표식,"")),"")</f>
        <v/>
      </c>
      <c r="L31" s="26" t="str">
        <f ca="1">IFERROR(IF(LEN(중요_시점[[#This Row],[요일]])=0,"",IF(AND(L$7=$E31,$F31=1),중요_시점_표식,"")),"")</f>
        <v/>
      </c>
      <c r="M31" s="26" t="str">
        <f ca="1">IFERROR(IF(LEN(중요_시점[[#This Row],[요일]])=0,"",IF(AND(M$7=$E31,$F31=1),중요_시점_표식,"")),"")</f>
        <v/>
      </c>
      <c r="N31" s="26" t="str">
        <f ca="1">IFERROR(IF(LEN(중요_시점[[#This Row],[요일]])=0,"",IF(AND(N$7=$E31,$F31=1),중요_시점_표식,"")),"")</f>
        <v/>
      </c>
      <c r="O31" s="26" t="str">
        <f ca="1">IFERROR(IF(LEN(중요_시점[[#This Row],[요일]])=0,"",IF(AND(O$7=$E31,$F31=1),중요_시점_표식,"")),"")</f>
        <v/>
      </c>
      <c r="P31" s="26" t="str">
        <f ca="1">IFERROR(IF(LEN(중요_시점[[#This Row],[요일]])=0,"",IF(AND(P$7=$E31,$F31=1),중요_시점_표식,"")),"")</f>
        <v/>
      </c>
      <c r="Q31" s="26" t="str">
        <f ca="1">IFERROR(IF(LEN(중요_시점[[#This Row],[요일]])=0,"",IF(AND(Q$7=$E31,$F31=1),중요_시점_표식,"")),"")</f>
        <v/>
      </c>
      <c r="R31" s="26" t="str">
        <f ca="1">IFERROR(IF(LEN(중요_시점[[#This Row],[요일]])=0,"",IF(AND(R$7=$E31,$F31=1),중요_시점_표식,"")),"")</f>
        <v/>
      </c>
      <c r="S31" s="26" t="str">
        <f ca="1">IFERROR(IF(LEN(중요_시점[[#This Row],[요일]])=0,"",IF(AND(S$7=$E31,$F31=1),중요_시점_표식,"")),"")</f>
        <v/>
      </c>
      <c r="T31" s="26" t="str">
        <f ca="1">IFERROR(IF(LEN(중요_시점[[#This Row],[요일]])=0,"",IF(AND(T$7=$E31,$F31=1),중요_시점_표식,"")),"")</f>
        <v/>
      </c>
      <c r="U31" s="26" t="str">
        <f ca="1">IFERROR(IF(LEN(중요_시점[[#This Row],[요일]])=0,"",IF(AND(U$7=$E31,$F31=1),중요_시점_표식,"")),"")</f>
        <v/>
      </c>
      <c r="V31" s="26" t="str">
        <f ca="1">IFERROR(IF(LEN(중요_시점[[#This Row],[요일]])=0,"",IF(AND(V$7=$E31,$F31=1),중요_시점_표식,"")),"")</f>
        <v/>
      </c>
      <c r="W31" s="26" t="str">
        <f ca="1">IFERROR(IF(LEN(중요_시점[[#This Row],[요일]])=0,"",IF(AND(W$7=$E31,$F31=1),중요_시점_표식,"")),"")</f>
        <v/>
      </c>
      <c r="X31" s="26" t="str">
        <f ca="1">IFERROR(IF(LEN(중요_시점[[#This Row],[요일]])=0,"",IF(AND(X$7=$E31,$F31=1),중요_시점_표식,"")),"")</f>
        <v/>
      </c>
      <c r="Y31" s="26" t="str">
        <f ca="1">IFERROR(IF(LEN(중요_시점[[#This Row],[요일]])=0,"",IF(AND(Y$7=$E31,$F31=1),중요_시점_표식,"")),"")</f>
        <v/>
      </c>
      <c r="Z31" s="26" t="str">
        <f ca="1">IFERROR(IF(LEN(중요_시점[[#This Row],[요일]])=0,"",IF(AND(Z$7=$E31,$F31=1),중요_시점_표식,"")),"")</f>
        <v/>
      </c>
      <c r="AA31" s="26" t="str">
        <f ca="1">IFERROR(IF(LEN(중요_시점[[#This Row],[요일]])=0,"",IF(AND(AA$7=$E31,$F31=1),중요_시점_표식,"")),"")</f>
        <v/>
      </c>
      <c r="AB31" s="26" t="str">
        <f ca="1">IFERROR(IF(LEN(중요_시점[[#This Row],[요일]])=0,"",IF(AND(AB$7=$E31,$F31=1),중요_시점_표식,"")),"")</f>
        <v/>
      </c>
      <c r="AC31" s="26" t="str">
        <f ca="1">IFERROR(IF(LEN(중요_시점[[#This Row],[요일]])=0,"",IF(AND(AC$7=$E31,$F31=1),중요_시점_표식,"")),"")</f>
        <v/>
      </c>
      <c r="AD31" s="26" t="str">
        <f ca="1">IFERROR(IF(LEN(중요_시점[[#This Row],[요일]])=0,"",IF(AND(AD$7=$E31,$F31=1),중요_시점_표식,"")),"")</f>
        <v/>
      </c>
      <c r="AE31" s="26" t="str">
        <f ca="1">IFERROR(IF(LEN(중요_시점[[#This Row],[요일]])=0,"",IF(AND(AE$7=$E31,$F31=1),중요_시점_표식,"")),"")</f>
        <v/>
      </c>
      <c r="AF31" s="26" t="str">
        <f ca="1">IFERROR(IF(LEN(중요_시점[[#This Row],[요일]])=0,"",IF(AND(AF$7=$E31,$F31=1),중요_시점_표식,"")),"")</f>
        <v/>
      </c>
      <c r="AG31" s="26" t="str">
        <f ca="1">IFERROR(IF(LEN(중요_시점[[#This Row],[요일]])=0,"",IF(AND(AG$7=$E31,$F31=1),중요_시점_표식,"")),"")</f>
        <v/>
      </c>
      <c r="AH31" s="26" t="str">
        <f ca="1">IFERROR(IF(LEN(중요_시점[[#This Row],[요일]])=0,"",IF(AND(AH$7=$E31,$F31=1),중요_시점_표식,"")),"")</f>
        <v/>
      </c>
      <c r="AI31" s="26" t="str">
        <f ca="1">IFERROR(IF(LEN(중요_시점[[#This Row],[요일]])=0,"",IF(AND(AI$7=$E31,$F31=1),중요_시점_표식,"")),"")</f>
        <v/>
      </c>
      <c r="AJ31" s="26" t="str">
        <f ca="1">IFERROR(IF(LEN(중요_시점[[#This Row],[요일]])=0,"",IF(AND(AJ$7=$E31,$F31=1),중요_시점_표식,"")),"")</f>
        <v/>
      </c>
      <c r="AK31" s="26" t="str">
        <f ca="1">IFERROR(IF(LEN(중요_시점[[#This Row],[요일]])=0,"",IF(AND(AK$7=$E31,$F31=1),중요_시점_표식,"")),"")</f>
        <v/>
      </c>
      <c r="AL31" s="26" t="str">
        <f ca="1">IFERROR(IF(LEN(중요_시점[[#This Row],[요일]])=0,"",IF(AND(AL$7=$E31,$F31=1),중요_시점_표식,"")),"")</f>
        <v/>
      </c>
      <c r="AM31" s="26" t="str">
        <f ca="1">IFERROR(IF(LEN(중요_시점[[#This Row],[요일]])=0,"",IF(AND(AM$7=$E31,$F31=1),중요_시점_표식,"")),"")</f>
        <v/>
      </c>
      <c r="AN31" s="26" t="str">
        <f ca="1">IFERROR(IF(LEN(중요_시점[[#This Row],[요일]])=0,"",IF(AND(AN$7=$E31,$F31=1),중요_시점_표식,"")),"")</f>
        <v/>
      </c>
      <c r="AO31" s="26" t="str">
        <f ca="1">IFERROR(IF(LEN(중요_시점[[#This Row],[요일]])=0,"",IF(AND(AO$7=$E31,$F31=1),중요_시점_표식,"")),"")</f>
        <v/>
      </c>
      <c r="AP31" s="26" t="str">
        <f ca="1">IFERROR(IF(LEN(중요_시점[[#This Row],[요일]])=0,"",IF(AND(AP$7=$E31,$F31=1),중요_시점_표식,"")),"")</f>
        <v/>
      </c>
      <c r="AQ31" s="26" t="str">
        <f ca="1">IFERROR(IF(LEN(중요_시점[[#This Row],[요일]])=0,"",IF(AND(AQ$7=$E31,$F31=1),중요_시점_표식,"")),"")</f>
        <v/>
      </c>
      <c r="AR31" s="26" t="str">
        <f ca="1">IFERROR(IF(LEN(중요_시점[[#This Row],[요일]])=0,"",IF(AND(AR$7=$E31,$F31=1),중요_시점_표식,"")),"")</f>
        <v/>
      </c>
      <c r="AS31" s="26" t="str">
        <f ca="1">IFERROR(IF(LEN(중요_시점[[#This Row],[요일]])=0,"",IF(AND(AS$7=$E31,$F31=1),중요_시점_표식,"")),"")</f>
        <v/>
      </c>
      <c r="AT31" s="26" t="str">
        <f ca="1">IFERROR(IF(LEN(중요_시점[[#This Row],[요일]])=0,"",IF(AND(AT$7=$E31,$F31=1),중요_시점_표식,"")),"")</f>
        <v/>
      </c>
      <c r="AU31" s="26" t="str">
        <f ca="1">IFERROR(IF(LEN(중요_시점[[#This Row],[요일]])=0,"",IF(AND(AU$7=$E31,$F31=1),중요_시점_표식,"")),"")</f>
        <v/>
      </c>
      <c r="AV31" s="26" t="str">
        <f ca="1">IFERROR(IF(LEN(중요_시점[[#This Row],[요일]])=0,"",IF(AND(AV$7=$E31,$F31=1),중요_시점_표식,"")),"")</f>
        <v/>
      </c>
      <c r="AW31" s="26" t="str">
        <f ca="1">IFERROR(IF(LEN(중요_시점[[#This Row],[요일]])=0,"",IF(AND(AW$7=$E31,$F31=1),중요_시점_표식,"")),"")</f>
        <v/>
      </c>
      <c r="AX31" s="26" t="str">
        <f ca="1">IFERROR(IF(LEN(중요_시점[[#This Row],[요일]])=0,"",IF(AND(AX$7=$E31,$F31=1),중요_시점_표식,"")),"")</f>
        <v/>
      </c>
      <c r="AY31" s="26" t="str">
        <f ca="1">IFERROR(IF(LEN(중요_시점[[#This Row],[요일]])=0,"",IF(AND(AY$7=$E31,$F31=1),중요_시점_표식,"")),"")</f>
        <v/>
      </c>
      <c r="AZ31" s="26" t="str">
        <f ca="1">IFERROR(IF(LEN(중요_시점[[#This Row],[요일]])=0,"",IF(AND(AZ$7=$E31,$F31=1),중요_시점_표식,"")),"")</f>
        <v/>
      </c>
      <c r="BA31" s="26" t="str">
        <f ca="1">IFERROR(IF(LEN(중요_시점[[#This Row],[요일]])=0,"",IF(AND(BA$7=$E31,$F31=1),중요_시점_표식,"")),"")</f>
        <v/>
      </c>
      <c r="BB31" s="26" t="str">
        <f ca="1">IFERROR(IF(LEN(중요_시점[[#This Row],[요일]])=0,"",IF(AND(BB$7=$E31,$F31=1),중요_시점_표식,"")),"")</f>
        <v/>
      </c>
      <c r="BC31" s="26" t="str">
        <f ca="1">IFERROR(IF(LEN(중요_시점[[#This Row],[요일]])=0,"",IF(AND(BC$7=$E31,$F31=1),중요_시점_표식,"")),"")</f>
        <v/>
      </c>
      <c r="BD31" s="26" t="str">
        <f ca="1">IFERROR(IF(LEN(중요_시점[[#This Row],[요일]])=0,"",IF(AND(BD$7=$E31,$F31=1),중요_시점_표식,"")),"")</f>
        <v/>
      </c>
      <c r="BE31" s="26" t="str">
        <f ca="1">IFERROR(IF(LEN(중요_시점[[#This Row],[요일]])=0,"",IF(AND(BE$7=$E31,$F31=1),중요_시점_표식,"")),"")</f>
        <v/>
      </c>
      <c r="BF31" s="26" t="str">
        <f ca="1">IFERROR(IF(LEN(중요_시점[[#This Row],[요일]])=0,"",IF(AND(BF$7=$E31,$F31=1),중요_시점_표식,"")),"")</f>
        <v/>
      </c>
      <c r="BG31" s="26" t="str">
        <f ca="1">IFERROR(IF(LEN(중요_시점[[#This Row],[요일]])=0,"",IF(AND(BG$7=$E31,$F31=1),중요_시점_표식,"")),"")</f>
        <v/>
      </c>
      <c r="BH31" s="26" t="str">
        <f ca="1">IFERROR(IF(LEN(중요_시점[[#This Row],[요일]])=0,"",IF(AND(BH$7=$E31,$F31=1),중요_시점_표식,"")),"")</f>
        <v/>
      </c>
      <c r="BI31" s="26" t="str">
        <f ca="1">IFERROR(IF(LEN(중요_시점[[#This Row],[요일]])=0,"",IF(AND(BI$7=$E31,$F31=1),중요_시점_표식,"")),"")</f>
        <v/>
      </c>
      <c r="BJ31" s="26" t="str">
        <f ca="1">IFERROR(IF(LEN(중요_시점[[#This Row],[요일]])=0,"",IF(AND(BJ$7=$E31,$F31=1),중요_시점_표식,"")),"")</f>
        <v/>
      </c>
      <c r="BK31" s="26" t="str">
        <f ca="1">IFERROR(IF(LEN(중요_시점[[#This Row],[요일]])=0,"",IF(AND(BK$7=$E31,$F31=1),중요_시점_표식,"")),"")</f>
        <v/>
      </c>
    </row>
    <row r="32" spans="1:63" s="1" customFormat="1" ht="30" customHeight="1" outlineLevel="1">
      <c r="A32" s="5"/>
      <c r="B32" s="49" t="s">
        <v>13</v>
      </c>
      <c r="C32" s="13"/>
      <c r="D32" s="43"/>
      <c r="E32" s="42"/>
      <c r="F32" s="12"/>
      <c r="G32" s="27"/>
      <c r="H32" s="26" t="str">
        <f>IFERROR(IF(LEN(중요_시점[[#This Row],[요일]])=0,"",IF(AND(H$7=$E32,$F32=1),중요_시점_표식,"")),"")</f>
        <v/>
      </c>
      <c r="I32" s="26" t="str">
        <f>IFERROR(IF(LEN(중요_시점[[#This Row],[요일]])=0,"",IF(AND(I$7=$E32,$F32=1),중요_시점_표식,"")),"")</f>
        <v/>
      </c>
      <c r="J32" s="26" t="str">
        <f>IFERROR(IF(LEN(중요_시점[[#This Row],[요일]])=0,"",IF(AND(J$7=$E32,$F32=1),중요_시점_표식,"")),"")</f>
        <v/>
      </c>
      <c r="K32" s="26" t="str">
        <f>IFERROR(IF(LEN(중요_시점[[#This Row],[요일]])=0,"",IF(AND(K$7=$E32,$F32=1),중요_시점_표식,"")),"")</f>
        <v/>
      </c>
      <c r="L32" s="26" t="str">
        <f>IFERROR(IF(LEN(중요_시점[[#This Row],[요일]])=0,"",IF(AND(L$7=$E32,$F32=1),중요_시점_표식,"")),"")</f>
        <v/>
      </c>
      <c r="M32" s="26" t="str">
        <f>IFERROR(IF(LEN(중요_시점[[#This Row],[요일]])=0,"",IF(AND(M$7=$E32,$F32=1),중요_시점_표식,"")),"")</f>
        <v/>
      </c>
      <c r="N32" s="26" t="str">
        <f>IFERROR(IF(LEN(중요_시점[[#This Row],[요일]])=0,"",IF(AND(N$7=$E32,$F32=1),중요_시점_표식,"")),"")</f>
        <v/>
      </c>
      <c r="O32" s="26" t="str">
        <f>IFERROR(IF(LEN(중요_시점[[#This Row],[요일]])=0,"",IF(AND(O$7=$E32,$F32=1),중요_시점_표식,"")),"")</f>
        <v/>
      </c>
      <c r="P32" s="26" t="str">
        <f>IFERROR(IF(LEN(중요_시점[[#This Row],[요일]])=0,"",IF(AND(P$7=$E32,$F32=1),중요_시점_표식,"")),"")</f>
        <v/>
      </c>
      <c r="Q32" s="26" t="str">
        <f>IFERROR(IF(LEN(중요_시점[[#This Row],[요일]])=0,"",IF(AND(Q$7=$E32,$F32=1),중요_시점_표식,"")),"")</f>
        <v/>
      </c>
      <c r="R32" s="26" t="str">
        <f>IFERROR(IF(LEN(중요_시점[[#This Row],[요일]])=0,"",IF(AND(R$7=$E32,$F32=1),중요_시점_표식,"")),"")</f>
        <v/>
      </c>
      <c r="S32" s="26" t="str">
        <f>IFERROR(IF(LEN(중요_시점[[#This Row],[요일]])=0,"",IF(AND(S$7=$E32,$F32=1),중요_시점_표식,"")),"")</f>
        <v/>
      </c>
      <c r="T32" s="26" t="str">
        <f>IFERROR(IF(LEN(중요_시점[[#This Row],[요일]])=0,"",IF(AND(T$7=$E32,$F32=1),중요_시점_표식,"")),"")</f>
        <v/>
      </c>
      <c r="U32" s="26" t="str">
        <f>IFERROR(IF(LEN(중요_시점[[#This Row],[요일]])=0,"",IF(AND(U$7=$E32,$F32=1),중요_시점_표식,"")),"")</f>
        <v/>
      </c>
      <c r="V32" s="26" t="str">
        <f>IFERROR(IF(LEN(중요_시점[[#This Row],[요일]])=0,"",IF(AND(V$7=$E32,$F32=1),중요_시점_표식,"")),"")</f>
        <v/>
      </c>
      <c r="W32" s="26" t="str">
        <f>IFERROR(IF(LEN(중요_시점[[#This Row],[요일]])=0,"",IF(AND(W$7=$E32,$F32=1),중요_시점_표식,"")),"")</f>
        <v/>
      </c>
      <c r="X32" s="26" t="str">
        <f>IFERROR(IF(LEN(중요_시점[[#This Row],[요일]])=0,"",IF(AND(X$7=$E32,$F32=1),중요_시점_표식,"")),"")</f>
        <v/>
      </c>
      <c r="Y32" s="26" t="str">
        <f>IFERROR(IF(LEN(중요_시점[[#This Row],[요일]])=0,"",IF(AND(Y$7=$E32,$F32=1),중요_시점_표식,"")),"")</f>
        <v/>
      </c>
      <c r="Z32" s="26" t="str">
        <f>IFERROR(IF(LEN(중요_시점[[#This Row],[요일]])=0,"",IF(AND(Z$7=$E32,$F32=1),중요_시점_표식,"")),"")</f>
        <v/>
      </c>
      <c r="AA32" s="26" t="str">
        <f>IFERROR(IF(LEN(중요_시점[[#This Row],[요일]])=0,"",IF(AND(AA$7=$E32,$F32=1),중요_시점_표식,"")),"")</f>
        <v/>
      </c>
      <c r="AB32" s="26" t="str">
        <f>IFERROR(IF(LEN(중요_시점[[#This Row],[요일]])=0,"",IF(AND(AB$7=$E32,$F32=1),중요_시점_표식,"")),"")</f>
        <v/>
      </c>
      <c r="AC32" s="26" t="str">
        <f>IFERROR(IF(LEN(중요_시점[[#This Row],[요일]])=0,"",IF(AND(AC$7=$E32,$F32=1),중요_시점_표식,"")),"")</f>
        <v/>
      </c>
      <c r="AD32" s="26" t="str">
        <f>IFERROR(IF(LEN(중요_시점[[#This Row],[요일]])=0,"",IF(AND(AD$7=$E32,$F32=1),중요_시점_표식,"")),"")</f>
        <v/>
      </c>
      <c r="AE32" s="26" t="str">
        <f>IFERROR(IF(LEN(중요_시점[[#This Row],[요일]])=0,"",IF(AND(AE$7=$E32,$F32=1),중요_시점_표식,"")),"")</f>
        <v/>
      </c>
      <c r="AF32" s="26" t="str">
        <f>IFERROR(IF(LEN(중요_시점[[#This Row],[요일]])=0,"",IF(AND(AF$7=$E32,$F32=1),중요_시점_표식,"")),"")</f>
        <v/>
      </c>
      <c r="AG32" s="26" t="str">
        <f>IFERROR(IF(LEN(중요_시점[[#This Row],[요일]])=0,"",IF(AND(AG$7=$E32,$F32=1),중요_시점_표식,"")),"")</f>
        <v/>
      </c>
      <c r="AH32" s="26" t="str">
        <f>IFERROR(IF(LEN(중요_시점[[#This Row],[요일]])=0,"",IF(AND(AH$7=$E32,$F32=1),중요_시점_표식,"")),"")</f>
        <v/>
      </c>
      <c r="AI32" s="26" t="str">
        <f>IFERROR(IF(LEN(중요_시점[[#This Row],[요일]])=0,"",IF(AND(AI$7=$E32,$F32=1),중요_시점_표식,"")),"")</f>
        <v/>
      </c>
      <c r="AJ32" s="26" t="str">
        <f>IFERROR(IF(LEN(중요_시점[[#This Row],[요일]])=0,"",IF(AND(AJ$7=$E32,$F32=1),중요_시점_표식,"")),"")</f>
        <v/>
      </c>
      <c r="AK32" s="26" t="str">
        <f>IFERROR(IF(LEN(중요_시점[[#This Row],[요일]])=0,"",IF(AND(AK$7=$E32,$F32=1),중요_시점_표식,"")),"")</f>
        <v/>
      </c>
      <c r="AL32" s="26" t="str">
        <f>IFERROR(IF(LEN(중요_시점[[#This Row],[요일]])=0,"",IF(AND(AL$7=$E32,$F32=1),중요_시점_표식,"")),"")</f>
        <v/>
      </c>
      <c r="AM32" s="26" t="str">
        <f>IFERROR(IF(LEN(중요_시점[[#This Row],[요일]])=0,"",IF(AND(AM$7=$E32,$F32=1),중요_시점_표식,"")),"")</f>
        <v/>
      </c>
      <c r="AN32" s="26" t="str">
        <f>IFERROR(IF(LEN(중요_시점[[#This Row],[요일]])=0,"",IF(AND(AN$7=$E32,$F32=1),중요_시점_표식,"")),"")</f>
        <v/>
      </c>
      <c r="AO32" s="26" t="str">
        <f>IFERROR(IF(LEN(중요_시점[[#This Row],[요일]])=0,"",IF(AND(AO$7=$E32,$F32=1),중요_시점_표식,"")),"")</f>
        <v/>
      </c>
      <c r="AP32" s="26" t="str">
        <f>IFERROR(IF(LEN(중요_시점[[#This Row],[요일]])=0,"",IF(AND(AP$7=$E32,$F32=1),중요_시점_표식,"")),"")</f>
        <v/>
      </c>
      <c r="AQ32" s="26" t="str">
        <f>IFERROR(IF(LEN(중요_시점[[#This Row],[요일]])=0,"",IF(AND(AQ$7=$E32,$F32=1),중요_시점_표식,"")),"")</f>
        <v/>
      </c>
      <c r="AR32" s="26" t="str">
        <f>IFERROR(IF(LEN(중요_시점[[#This Row],[요일]])=0,"",IF(AND(AR$7=$E32,$F32=1),중요_시점_표식,"")),"")</f>
        <v/>
      </c>
      <c r="AS32" s="26" t="str">
        <f>IFERROR(IF(LEN(중요_시점[[#This Row],[요일]])=0,"",IF(AND(AS$7=$E32,$F32=1),중요_시점_표식,"")),"")</f>
        <v/>
      </c>
      <c r="AT32" s="26" t="str">
        <f>IFERROR(IF(LEN(중요_시점[[#This Row],[요일]])=0,"",IF(AND(AT$7=$E32,$F32=1),중요_시점_표식,"")),"")</f>
        <v/>
      </c>
      <c r="AU32" s="26" t="str">
        <f>IFERROR(IF(LEN(중요_시점[[#This Row],[요일]])=0,"",IF(AND(AU$7=$E32,$F32=1),중요_시점_표식,"")),"")</f>
        <v/>
      </c>
      <c r="AV32" s="26" t="str">
        <f>IFERROR(IF(LEN(중요_시점[[#This Row],[요일]])=0,"",IF(AND(AV$7=$E32,$F32=1),중요_시점_표식,"")),"")</f>
        <v/>
      </c>
      <c r="AW32" s="26" t="str">
        <f>IFERROR(IF(LEN(중요_시점[[#This Row],[요일]])=0,"",IF(AND(AW$7=$E32,$F32=1),중요_시점_표식,"")),"")</f>
        <v/>
      </c>
      <c r="AX32" s="26" t="str">
        <f>IFERROR(IF(LEN(중요_시점[[#This Row],[요일]])=0,"",IF(AND(AX$7=$E32,$F32=1),중요_시점_표식,"")),"")</f>
        <v/>
      </c>
      <c r="AY32" s="26" t="str">
        <f>IFERROR(IF(LEN(중요_시점[[#This Row],[요일]])=0,"",IF(AND(AY$7=$E32,$F32=1),중요_시점_표식,"")),"")</f>
        <v/>
      </c>
      <c r="AZ32" s="26" t="str">
        <f>IFERROR(IF(LEN(중요_시점[[#This Row],[요일]])=0,"",IF(AND(AZ$7=$E32,$F32=1),중요_시점_표식,"")),"")</f>
        <v/>
      </c>
      <c r="BA32" s="26" t="str">
        <f>IFERROR(IF(LEN(중요_시점[[#This Row],[요일]])=0,"",IF(AND(BA$7=$E32,$F32=1),중요_시점_표식,"")),"")</f>
        <v/>
      </c>
      <c r="BB32" s="26" t="str">
        <f>IFERROR(IF(LEN(중요_시점[[#This Row],[요일]])=0,"",IF(AND(BB$7=$E32,$F32=1),중요_시점_표식,"")),"")</f>
        <v/>
      </c>
      <c r="BC32" s="26" t="str">
        <f>IFERROR(IF(LEN(중요_시점[[#This Row],[요일]])=0,"",IF(AND(BC$7=$E32,$F32=1),중요_시점_표식,"")),"")</f>
        <v/>
      </c>
      <c r="BD32" s="26" t="str">
        <f>IFERROR(IF(LEN(중요_시점[[#This Row],[요일]])=0,"",IF(AND(BD$7=$E32,$F32=1),중요_시점_표식,"")),"")</f>
        <v/>
      </c>
      <c r="BE32" s="26" t="str">
        <f>IFERROR(IF(LEN(중요_시점[[#This Row],[요일]])=0,"",IF(AND(BE$7=$E32,$F32=1),중요_시점_표식,"")),"")</f>
        <v/>
      </c>
      <c r="BF32" s="26" t="str">
        <f>IFERROR(IF(LEN(중요_시점[[#This Row],[요일]])=0,"",IF(AND(BF$7=$E32,$F32=1),중요_시점_표식,"")),"")</f>
        <v/>
      </c>
      <c r="BG32" s="26" t="str">
        <f>IFERROR(IF(LEN(중요_시점[[#This Row],[요일]])=0,"",IF(AND(BG$7=$E32,$F32=1),중요_시점_표식,"")),"")</f>
        <v/>
      </c>
      <c r="BH32" s="26" t="str">
        <f>IFERROR(IF(LEN(중요_시점[[#This Row],[요일]])=0,"",IF(AND(BH$7=$E32,$F32=1),중요_시점_표식,"")),"")</f>
        <v/>
      </c>
      <c r="BI32" s="26" t="str">
        <f>IFERROR(IF(LEN(중요_시점[[#This Row],[요일]])=0,"",IF(AND(BI$7=$E32,$F32=1),중요_시점_표식,"")),"")</f>
        <v/>
      </c>
      <c r="BJ32" s="26" t="str">
        <f>IFERROR(IF(LEN(중요_시점[[#This Row],[요일]])=0,"",IF(AND(BJ$7=$E32,$F32=1),중요_시점_표식,"")),"")</f>
        <v/>
      </c>
      <c r="BK32" s="26" t="str">
        <f>IFERROR(IF(LEN(중요_시점[[#This Row],[요일]])=0,"",IF(AND(BK$7=$E32,$F32=1),중요_시점_표식,"")),"")</f>
        <v/>
      </c>
    </row>
    <row r="33" spans="1:63" s="1" customFormat="1" ht="30" customHeight="1" outlineLevel="1">
      <c r="A33" s="5"/>
      <c r="B33" s="49" t="s">
        <v>14</v>
      </c>
      <c r="C33" s="13"/>
      <c r="D33" s="43"/>
      <c r="E33" s="42"/>
      <c r="F33" s="12"/>
      <c r="G33" s="27"/>
      <c r="H33" s="26" t="str">
        <f>IFERROR(IF(LEN(중요_시점[[#This Row],[요일]])=0,"",IF(AND(H$7=$E33,$F33=1),중요_시점_표식,"")),"")</f>
        <v/>
      </c>
      <c r="I33" s="26" t="str">
        <f>IFERROR(IF(LEN(중요_시점[[#This Row],[요일]])=0,"",IF(AND(I$7=$E33,$F33=1),중요_시점_표식,"")),"")</f>
        <v/>
      </c>
      <c r="J33" s="26" t="str">
        <f>IFERROR(IF(LEN(중요_시점[[#This Row],[요일]])=0,"",IF(AND(J$7=$E33,$F33=1),중요_시점_표식,"")),"")</f>
        <v/>
      </c>
      <c r="K33" s="26" t="str">
        <f>IFERROR(IF(LEN(중요_시점[[#This Row],[요일]])=0,"",IF(AND(K$7=$E33,$F33=1),중요_시점_표식,"")),"")</f>
        <v/>
      </c>
      <c r="L33" s="26" t="str">
        <f>IFERROR(IF(LEN(중요_시점[[#This Row],[요일]])=0,"",IF(AND(L$7=$E33,$F33=1),중요_시점_표식,"")),"")</f>
        <v/>
      </c>
      <c r="M33" s="26" t="str">
        <f>IFERROR(IF(LEN(중요_시점[[#This Row],[요일]])=0,"",IF(AND(M$7=$E33,$F33=1),중요_시점_표식,"")),"")</f>
        <v/>
      </c>
      <c r="N33" s="26" t="str">
        <f>IFERROR(IF(LEN(중요_시점[[#This Row],[요일]])=0,"",IF(AND(N$7=$E33,$F33=1),중요_시점_표식,"")),"")</f>
        <v/>
      </c>
      <c r="O33" s="26" t="str">
        <f>IFERROR(IF(LEN(중요_시점[[#This Row],[요일]])=0,"",IF(AND(O$7=$E33,$F33=1),중요_시점_표식,"")),"")</f>
        <v/>
      </c>
      <c r="P33" s="26" t="str">
        <f>IFERROR(IF(LEN(중요_시점[[#This Row],[요일]])=0,"",IF(AND(P$7=$E33,$F33=1),중요_시점_표식,"")),"")</f>
        <v/>
      </c>
      <c r="Q33" s="26" t="str">
        <f>IFERROR(IF(LEN(중요_시점[[#This Row],[요일]])=0,"",IF(AND(Q$7=$E33,$F33=1),중요_시점_표식,"")),"")</f>
        <v/>
      </c>
      <c r="R33" s="26" t="str">
        <f>IFERROR(IF(LEN(중요_시점[[#This Row],[요일]])=0,"",IF(AND(R$7=$E33,$F33=1),중요_시점_표식,"")),"")</f>
        <v/>
      </c>
      <c r="S33" s="26" t="str">
        <f>IFERROR(IF(LEN(중요_시점[[#This Row],[요일]])=0,"",IF(AND(S$7=$E33,$F33=1),중요_시점_표식,"")),"")</f>
        <v/>
      </c>
      <c r="T33" s="26" t="str">
        <f>IFERROR(IF(LEN(중요_시점[[#This Row],[요일]])=0,"",IF(AND(T$7=$E33,$F33=1),중요_시점_표식,"")),"")</f>
        <v/>
      </c>
      <c r="U33" s="26" t="str">
        <f>IFERROR(IF(LEN(중요_시점[[#This Row],[요일]])=0,"",IF(AND(U$7=$E33,$F33=1),중요_시점_표식,"")),"")</f>
        <v/>
      </c>
      <c r="V33" s="26" t="str">
        <f>IFERROR(IF(LEN(중요_시점[[#This Row],[요일]])=0,"",IF(AND(V$7=$E33,$F33=1),중요_시점_표식,"")),"")</f>
        <v/>
      </c>
      <c r="W33" s="26" t="str">
        <f>IFERROR(IF(LEN(중요_시점[[#This Row],[요일]])=0,"",IF(AND(W$7=$E33,$F33=1),중요_시점_표식,"")),"")</f>
        <v/>
      </c>
      <c r="X33" s="26" t="str">
        <f>IFERROR(IF(LEN(중요_시점[[#This Row],[요일]])=0,"",IF(AND(X$7=$E33,$F33=1),중요_시점_표식,"")),"")</f>
        <v/>
      </c>
      <c r="Y33" s="26" t="str">
        <f>IFERROR(IF(LEN(중요_시점[[#This Row],[요일]])=0,"",IF(AND(Y$7=$E33,$F33=1),중요_시점_표식,"")),"")</f>
        <v/>
      </c>
      <c r="Z33" s="26" t="str">
        <f>IFERROR(IF(LEN(중요_시점[[#This Row],[요일]])=0,"",IF(AND(Z$7=$E33,$F33=1),중요_시점_표식,"")),"")</f>
        <v/>
      </c>
      <c r="AA33" s="26" t="str">
        <f>IFERROR(IF(LEN(중요_시점[[#This Row],[요일]])=0,"",IF(AND(AA$7=$E33,$F33=1),중요_시점_표식,"")),"")</f>
        <v/>
      </c>
      <c r="AB33" s="26" t="str">
        <f>IFERROR(IF(LEN(중요_시점[[#This Row],[요일]])=0,"",IF(AND(AB$7=$E33,$F33=1),중요_시점_표식,"")),"")</f>
        <v/>
      </c>
      <c r="AC33" s="26" t="str">
        <f>IFERROR(IF(LEN(중요_시점[[#This Row],[요일]])=0,"",IF(AND(AC$7=$E33,$F33=1),중요_시점_표식,"")),"")</f>
        <v/>
      </c>
      <c r="AD33" s="26" t="str">
        <f>IFERROR(IF(LEN(중요_시점[[#This Row],[요일]])=0,"",IF(AND(AD$7=$E33,$F33=1),중요_시점_표식,"")),"")</f>
        <v/>
      </c>
      <c r="AE33" s="26" t="str">
        <f>IFERROR(IF(LEN(중요_시점[[#This Row],[요일]])=0,"",IF(AND(AE$7=$E33,$F33=1),중요_시점_표식,"")),"")</f>
        <v/>
      </c>
      <c r="AF33" s="26" t="str">
        <f>IFERROR(IF(LEN(중요_시점[[#This Row],[요일]])=0,"",IF(AND(AF$7=$E33,$F33=1),중요_시점_표식,"")),"")</f>
        <v/>
      </c>
      <c r="AG33" s="26" t="str">
        <f>IFERROR(IF(LEN(중요_시점[[#This Row],[요일]])=0,"",IF(AND(AG$7=$E33,$F33=1),중요_시점_표식,"")),"")</f>
        <v/>
      </c>
      <c r="AH33" s="26" t="str">
        <f>IFERROR(IF(LEN(중요_시점[[#This Row],[요일]])=0,"",IF(AND(AH$7=$E33,$F33=1),중요_시점_표식,"")),"")</f>
        <v/>
      </c>
      <c r="AI33" s="26" t="str">
        <f>IFERROR(IF(LEN(중요_시점[[#This Row],[요일]])=0,"",IF(AND(AI$7=$E33,$F33=1),중요_시점_표식,"")),"")</f>
        <v/>
      </c>
      <c r="AJ33" s="26" t="str">
        <f>IFERROR(IF(LEN(중요_시점[[#This Row],[요일]])=0,"",IF(AND(AJ$7=$E33,$F33=1),중요_시점_표식,"")),"")</f>
        <v/>
      </c>
      <c r="AK33" s="26" t="str">
        <f>IFERROR(IF(LEN(중요_시점[[#This Row],[요일]])=0,"",IF(AND(AK$7=$E33,$F33=1),중요_시점_표식,"")),"")</f>
        <v/>
      </c>
      <c r="AL33" s="26" t="str">
        <f>IFERROR(IF(LEN(중요_시점[[#This Row],[요일]])=0,"",IF(AND(AL$7=$E33,$F33=1),중요_시점_표식,"")),"")</f>
        <v/>
      </c>
      <c r="AM33" s="26" t="str">
        <f>IFERROR(IF(LEN(중요_시점[[#This Row],[요일]])=0,"",IF(AND(AM$7=$E33,$F33=1),중요_시점_표식,"")),"")</f>
        <v/>
      </c>
      <c r="AN33" s="26" t="str">
        <f>IFERROR(IF(LEN(중요_시점[[#This Row],[요일]])=0,"",IF(AND(AN$7=$E33,$F33=1),중요_시점_표식,"")),"")</f>
        <v/>
      </c>
      <c r="AO33" s="26" t="str">
        <f>IFERROR(IF(LEN(중요_시점[[#This Row],[요일]])=0,"",IF(AND(AO$7=$E33,$F33=1),중요_시점_표식,"")),"")</f>
        <v/>
      </c>
      <c r="AP33" s="26" t="str">
        <f>IFERROR(IF(LEN(중요_시점[[#This Row],[요일]])=0,"",IF(AND(AP$7=$E33,$F33=1),중요_시점_표식,"")),"")</f>
        <v/>
      </c>
      <c r="AQ33" s="26" t="str">
        <f>IFERROR(IF(LEN(중요_시점[[#This Row],[요일]])=0,"",IF(AND(AQ$7=$E33,$F33=1),중요_시점_표식,"")),"")</f>
        <v/>
      </c>
      <c r="AR33" s="26" t="str">
        <f>IFERROR(IF(LEN(중요_시점[[#This Row],[요일]])=0,"",IF(AND(AR$7=$E33,$F33=1),중요_시점_표식,"")),"")</f>
        <v/>
      </c>
      <c r="AS33" s="26" t="str">
        <f>IFERROR(IF(LEN(중요_시점[[#This Row],[요일]])=0,"",IF(AND(AS$7=$E33,$F33=1),중요_시점_표식,"")),"")</f>
        <v/>
      </c>
      <c r="AT33" s="26" t="str">
        <f>IFERROR(IF(LEN(중요_시점[[#This Row],[요일]])=0,"",IF(AND(AT$7=$E33,$F33=1),중요_시점_표식,"")),"")</f>
        <v/>
      </c>
      <c r="AU33" s="26" t="str">
        <f>IFERROR(IF(LEN(중요_시점[[#This Row],[요일]])=0,"",IF(AND(AU$7=$E33,$F33=1),중요_시점_표식,"")),"")</f>
        <v/>
      </c>
      <c r="AV33" s="26" t="str">
        <f>IFERROR(IF(LEN(중요_시점[[#This Row],[요일]])=0,"",IF(AND(AV$7=$E33,$F33=1),중요_시점_표식,"")),"")</f>
        <v/>
      </c>
      <c r="AW33" s="26" t="str">
        <f>IFERROR(IF(LEN(중요_시점[[#This Row],[요일]])=0,"",IF(AND(AW$7=$E33,$F33=1),중요_시점_표식,"")),"")</f>
        <v/>
      </c>
      <c r="AX33" s="26" t="str">
        <f>IFERROR(IF(LEN(중요_시점[[#This Row],[요일]])=0,"",IF(AND(AX$7=$E33,$F33=1),중요_시점_표식,"")),"")</f>
        <v/>
      </c>
      <c r="AY33" s="26" t="str">
        <f>IFERROR(IF(LEN(중요_시점[[#This Row],[요일]])=0,"",IF(AND(AY$7=$E33,$F33=1),중요_시점_표식,"")),"")</f>
        <v/>
      </c>
      <c r="AZ33" s="26" t="str">
        <f>IFERROR(IF(LEN(중요_시점[[#This Row],[요일]])=0,"",IF(AND(AZ$7=$E33,$F33=1),중요_시점_표식,"")),"")</f>
        <v/>
      </c>
      <c r="BA33" s="26" t="str">
        <f>IFERROR(IF(LEN(중요_시점[[#This Row],[요일]])=0,"",IF(AND(BA$7=$E33,$F33=1),중요_시점_표식,"")),"")</f>
        <v/>
      </c>
      <c r="BB33" s="26" t="str">
        <f>IFERROR(IF(LEN(중요_시점[[#This Row],[요일]])=0,"",IF(AND(BB$7=$E33,$F33=1),중요_시점_표식,"")),"")</f>
        <v/>
      </c>
      <c r="BC33" s="26" t="str">
        <f>IFERROR(IF(LEN(중요_시점[[#This Row],[요일]])=0,"",IF(AND(BC$7=$E33,$F33=1),중요_시점_표식,"")),"")</f>
        <v/>
      </c>
      <c r="BD33" s="26" t="str">
        <f>IFERROR(IF(LEN(중요_시점[[#This Row],[요일]])=0,"",IF(AND(BD$7=$E33,$F33=1),중요_시점_표식,"")),"")</f>
        <v/>
      </c>
      <c r="BE33" s="26" t="str">
        <f>IFERROR(IF(LEN(중요_시점[[#This Row],[요일]])=0,"",IF(AND(BE$7=$E33,$F33=1),중요_시점_표식,"")),"")</f>
        <v/>
      </c>
      <c r="BF33" s="26" t="str">
        <f>IFERROR(IF(LEN(중요_시점[[#This Row],[요일]])=0,"",IF(AND(BF$7=$E33,$F33=1),중요_시점_표식,"")),"")</f>
        <v/>
      </c>
      <c r="BG33" s="26" t="str">
        <f>IFERROR(IF(LEN(중요_시점[[#This Row],[요일]])=0,"",IF(AND(BG$7=$E33,$F33=1),중요_시점_표식,"")),"")</f>
        <v/>
      </c>
      <c r="BH33" s="26" t="str">
        <f>IFERROR(IF(LEN(중요_시점[[#This Row],[요일]])=0,"",IF(AND(BH$7=$E33,$F33=1),중요_시점_표식,"")),"")</f>
        <v/>
      </c>
      <c r="BI33" s="26" t="str">
        <f>IFERROR(IF(LEN(중요_시점[[#This Row],[요일]])=0,"",IF(AND(BI$7=$E33,$F33=1),중요_시점_표식,"")),"")</f>
        <v/>
      </c>
      <c r="BJ33" s="26" t="str">
        <f>IFERROR(IF(LEN(중요_시점[[#This Row],[요일]])=0,"",IF(AND(BJ$7=$E33,$F33=1),중요_시점_표식,"")),"")</f>
        <v/>
      </c>
      <c r="BK33" s="26" t="str">
        <f>IFERROR(IF(LEN(중요_시점[[#This Row],[요일]])=0,"",IF(AND(BK$7=$E33,$F33=1),중요_시점_표식,"")),"")</f>
        <v/>
      </c>
    </row>
    <row r="34" spans="1:63" s="1" customFormat="1" ht="30" customHeight="1">
      <c r="A34" s="5"/>
      <c r="B34" s="41"/>
      <c r="C34" s="13"/>
      <c r="D34" s="43"/>
      <c r="E34" s="42"/>
      <c r="F34" s="12"/>
      <c r="G34" s="27"/>
      <c r="H34" s="26" t="str">
        <f>IFERROR(IF(LEN(중요_시점[[#This Row],[요일]])=0,"",IF(AND(H$7=$E34,$F34=1),중요_시점_표식,"")),"")</f>
        <v/>
      </c>
      <c r="I34" s="26" t="str">
        <f>IFERROR(IF(LEN(중요_시점[[#This Row],[요일]])=0,"",IF(AND(I$7=$E34,$F34=1),중요_시점_표식,"")),"")</f>
        <v/>
      </c>
      <c r="J34" s="26" t="str">
        <f>IFERROR(IF(LEN(중요_시점[[#This Row],[요일]])=0,"",IF(AND(J$7=$E34,$F34=1),중요_시점_표식,"")),"")</f>
        <v/>
      </c>
      <c r="K34" s="26" t="str">
        <f>IFERROR(IF(LEN(중요_시점[[#This Row],[요일]])=0,"",IF(AND(K$7=$E34,$F34=1),중요_시점_표식,"")),"")</f>
        <v/>
      </c>
      <c r="L34" s="26" t="str">
        <f>IFERROR(IF(LEN(중요_시점[[#This Row],[요일]])=0,"",IF(AND(L$7=$E34,$F34=1),중요_시점_표식,"")),"")</f>
        <v/>
      </c>
      <c r="M34" s="26" t="str">
        <f>IFERROR(IF(LEN(중요_시점[[#This Row],[요일]])=0,"",IF(AND(M$7=$E34,$F34=1),중요_시점_표식,"")),"")</f>
        <v/>
      </c>
      <c r="N34" s="26" t="str">
        <f>IFERROR(IF(LEN(중요_시점[[#This Row],[요일]])=0,"",IF(AND(N$7=$E34,$F34=1),중요_시점_표식,"")),"")</f>
        <v/>
      </c>
      <c r="O34" s="26" t="str">
        <f>IFERROR(IF(LEN(중요_시점[[#This Row],[요일]])=0,"",IF(AND(O$7=$E34,$F34=1),중요_시점_표식,"")),"")</f>
        <v/>
      </c>
      <c r="P34" s="26" t="str">
        <f>IFERROR(IF(LEN(중요_시점[[#This Row],[요일]])=0,"",IF(AND(P$7=$E34,$F34=1),중요_시점_표식,"")),"")</f>
        <v/>
      </c>
      <c r="Q34" s="26" t="str">
        <f>IFERROR(IF(LEN(중요_시점[[#This Row],[요일]])=0,"",IF(AND(Q$7=$E34,$F34=1),중요_시점_표식,"")),"")</f>
        <v/>
      </c>
      <c r="R34" s="26" t="str">
        <f>IFERROR(IF(LEN(중요_시점[[#This Row],[요일]])=0,"",IF(AND(R$7=$E34,$F34=1),중요_시점_표식,"")),"")</f>
        <v/>
      </c>
      <c r="S34" s="26" t="str">
        <f>IFERROR(IF(LEN(중요_시점[[#This Row],[요일]])=0,"",IF(AND(S$7=$E34,$F34=1),중요_시점_표식,"")),"")</f>
        <v/>
      </c>
      <c r="T34" s="26" t="str">
        <f>IFERROR(IF(LEN(중요_시점[[#This Row],[요일]])=0,"",IF(AND(T$7=$E34,$F34=1),중요_시점_표식,"")),"")</f>
        <v/>
      </c>
      <c r="U34" s="26" t="str">
        <f>IFERROR(IF(LEN(중요_시점[[#This Row],[요일]])=0,"",IF(AND(U$7=$E34,$F34=1),중요_시점_표식,"")),"")</f>
        <v/>
      </c>
      <c r="V34" s="26" t="str">
        <f>IFERROR(IF(LEN(중요_시점[[#This Row],[요일]])=0,"",IF(AND(V$7=$E34,$F34=1),중요_시점_표식,"")),"")</f>
        <v/>
      </c>
      <c r="W34" s="26" t="str">
        <f>IFERROR(IF(LEN(중요_시점[[#This Row],[요일]])=0,"",IF(AND(W$7=$E34,$F34=1),중요_시점_표식,"")),"")</f>
        <v/>
      </c>
      <c r="X34" s="26" t="str">
        <f>IFERROR(IF(LEN(중요_시점[[#This Row],[요일]])=0,"",IF(AND(X$7=$E34,$F34=1),중요_시점_표식,"")),"")</f>
        <v/>
      </c>
      <c r="Y34" s="26" t="str">
        <f>IFERROR(IF(LEN(중요_시점[[#This Row],[요일]])=0,"",IF(AND(Y$7=$E34,$F34=1),중요_시점_표식,"")),"")</f>
        <v/>
      </c>
      <c r="Z34" s="26" t="str">
        <f>IFERROR(IF(LEN(중요_시점[[#This Row],[요일]])=0,"",IF(AND(Z$7=$E34,$F34=1),중요_시점_표식,"")),"")</f>
        <v/>
      </c>
      <c r="AA34" s="26" t="str">
        <f>IFERROR(IF(LEN(중요_시점[[#This Row],[요일]])=0,"",IF(AND(AA$7=$E34,$F34=1),중요_시점_표식,"")),"")</f>
        <v/>
      </c>
      <c r="AB34" s="26" t="str">
        <f>IFERROR(IF(LEN(중요_시점[[#This Row],[요일]])=0,"",IF(AND(AB$7=$E34,$F34=1),중요_시점_표식,"")),"")</f>
        <v/>
      </c>
      <c r="AC34" s="26" t="str">
        <f>IFERROR(IF(LEN(중요_시점[[#This Row],[요일]])=0,"",IF(AND(AC$7=$E34,$F34=1),중요_시점_표식,"")),"")</f>
        <v/>
      </c>
      <c r="AD34" s="26" t="str">
        <f>IFERROR(IF(LEN(중요_시점[[#This Row],[요일]])=0,"",IF(AND(AD$7=$E34,$F34=1),중요_시점_표식,"")),"")</f>
        <v/>
      </c>
      <c r="AE34" s="26" t="str">
        <f>IFERROR(IF(LEN(중요_시점[[#This Row],[요일]])=0,"",IF(AND(AE$7=$E34,$F34=1),중요_시점_표식,"")),"")</f>
        <v/>
      </c>
      <c r="AF34" s="26" t="str">
        <f>IFERROR(IF(LEN(중요_시점[[#This Row],[요일]])=0,"",IF(AND(AF$7=$E34,$F34=1),중요_시점_표식,"")),"")</f>
        <v/>
      </c>
      <c r="AG34" s="26" t="str">
        <f>IFERROR(IF(LEN(중요_시점[[#This Row],[요일]])=0,"",IF(AND(AG$7=$E34,$F34=1),중요_시점_표식,"")),"")</f>
        <v/>
      </c>
      <c r="AH34" s="26" t="str">
        <f>IFERROR(IF(LEN(중요_시점[[#This Row],[요일]])=0,"",IF(AND(AH$7=$E34,$F34=1),중요_시점_표식,"")),"")</f>
        <v/>
      </c>
      <c r="AI34" s="26" t="str">
        <f>IFERROR(IF(LEN(중요_시점[[#This Row],[요일]])=0,"",IF(AND(AI$7=$E34,$F34=1),중요_시점_표식,"")),"")</f>
        <v/>
      </c>
      <c r="AJ34" s="26" t="str">
        <f>IFERROR(IF(LEN(중요_시점[[#This Row],[요일]])=0,"",IF(AND(AJ$7=$E34,$F34=1),중요_시점_표식,"")),"")</f>
        <v/>
      </c>
      <c r="AK34" s="26" t="str">
        <f>IFERROR(IF(LEN(중요_시점[[#This Row],[요일]])=0,"",IF(AND(AK$7=$E34,$F34=1),중요_시점_표식,"")),"")</f>
        <v/>
      </c>
      <c r="AL34" s="26" t="str">
        <f>IFERROR(IF(LEN(중요_시점[[#This Row],[요일]])=0,"",IF(AND(AL$7=$E34,$F34=1),중요_시점_표식,"")),"")</f>
        <v/>
      </c>
      <c r="AM34" s="26" t="str">
        <f>IFERROR(IF(LEN(중요_시점[[#This Row],[요일]])=0,"",IF(AND(AM$7=$E34,$F34=1),중요_시점_표식,"")),"")</f>
        <v/>
      </c>
      <c r="AN34" s="26" t="str">
        <f>IFERROR(IF(LEN(중요_시점[[#This Row],[요일]])=0,"",IF(AND(AN$7=$E34,$F34=1),중요_시점_표식,"")),"")</f>
        <v/>
      </c>
      <c r="AO34" s="26" t="str">
        <f>IFERROR(IF(LEN(중요_시점[[#This Row],[요일]])=0,"",IF(AND(AO$7=$E34,$F34=1),중요_시점_표식,"")),"")</f>
        <v/>
      </c>
      <c r="AP34" s="26" t="str">
        <f>IFERROR(IF(LEN(중요_시점[[#This Row],[요일]])=0,"",IF(AND(AP$7=$E34,$F34=1),중요_시점_표식,"")),"")</f>
        <v/>
      </c>
      <c r="AQ34" s="26" t="str">
        <f>IFERROR(IF(LEN(중요_시점[[#This Row],[요일]])=0,"",IF(AND(AQ$7=$E34,$F34=1),중요_시점_표식,"")),"")</f>
        <v/>
      </c>
      <c r="AR34" s="26" t="str">
        <f>IFERROR(IF(LEN(중요_시점[[#This Row],[요일]])=0,"",IF(AND(AR$7=$E34,$F34=1),중요_시점_표식,"")),"")</f>
        <v/>
      </c>
      <c r="AS34" s="26" t="str">
        <f>IFERROR(IF(LEN(중요_시점[[#This Row],[요일]])=0,"",IF(AND(AS$7=$E34,$F34=1),중요_시점_표식,"")),"")</f>
        <v/>
      </c>
      <c r="AT34" s="26" t="str">
        <f>IFERROR(IF(LEN(중요_시점[[#This Row],[요일]])=0,"",IF(AND(AT$7=$E34,$F34=1),중요_시점_표식,"")),"")</f>
        <v/>
      </c>
      <c r="AU34" s="26" t="str">
        <f>IFERROR(IF(LEN(중요_시점[[#This Row],[요일]])=0,"",IF(AND(AU$7=$E34,$F34=1),중요_시점_표식,"")),"")</f>
        <v/>
      </c>
      <c r="AV34" s="26" t="str">
        <f>IFERROR(IF(LEN(중요_시점[[#This Row],[요일]])=0,"",IF(AND(AV$7=$E34,$F34=1),중요_시점_표식,"")),"")</f>
        <v/>
      </c>
      <c r="AW34" s="26" t="str">
        <f>IFERROR(IF(LEN(중요_시점[[#This Row],[요일]])=0,"",IF(AND(AW$7=$E34,$F34=1),중요_시점_표식,"")),"")</f>
        <v/>
      </c>
      <c r="AX34" s="26" t="str">
        <f>IFERROR(IF(LEN(중요_시점[[#This Row],[요일]])=0,"",IF(AND(AX$7=$E34,$F34=1),중요_시점_표식,"")),"")</f>
        <v/>
      </c>
      <c r="AY34" s="26" t="str">
        <f>IFERROR(IF(LEN(중요_시점[[#This Row],[요일]])=0,"",IF(AND(AY$7=$E34,$F34=1),중요_시점_표식,"")),"")</f>
        <v/>
      </c>
      <c r="AZ34" s="26" t="str">
        <f>IFERROR(IF(LEN(중요_시점[[#This Row],[요일]])=0,"",IF(AND(AZ$7=$E34,$F34=1),중요_시점_표식,"")),"")</f>
        <v/>
      </c>
      <c r="BA34" s="26" t="str">
        <f>IFERROR(IF(LEN(중요_시점[[#This Row],[요일]])=0,"",IF(AND(BA$7=$E34,$F34=1),중요_시점_표식,"")),"")</f>
        <v/>
      </c>
      <c r="BB34" s="26" t="str">
        <f>IFERROR(IF(LEN(중요_시점[[#This Row],[요일]])=0,"",IF(AND(BB$7=$E34,$F34=1),중요_시점_표식,"")),"")</f>
        <v/>
      </c>
      <c r="BC34" s="26" t="str">
        <f>IFERROR(IF(LEN(중요_시점[[#This Row],[요일]])=0,"",IF(AND(BC$7=$E34,$F34=1),중요_시점_표식,"")),"")</f>
        <v/>
      </c>
      <c r="BD34" s="26" t="str">
        <f>IFERROR(IF(LEN(중요_시점[[#This Row],[요일]])=0,"",IF(AND(BD$7=$E34,$F34=1),중요_시점_표식,"")),"")</f>
        <v/>
      </c>
      <c r="BE34" s="26" t="str">
        <f>IFERROR(IF(LEN(중요_시점[[#This Row],[요일]])=0,"",IF(AND(BE$7=$E34,$F34=1),중요_시점_표식,"")),"")</f>
        <v/>
      </c>
      <c r="BF34" s="26" t="str">
        <f>IFERROR(IF(LEN(중요_시점[[#This Row],[요일]])=0,"",IF(AND(BF$7=$E34,$F34=1),중요_시점_표식,"")),"")</f>
        <v/>
      </c>
      <c r="BG34" s="26" t="str">
        <f>IFERROR(IF(LEN(중요_시점[[#This Row],[요일]])=0,"",IF(AND(BG$7=$E34,$F34=1),중요_시점_표식,"")),"")</f>
        <v/>
      </c>
      <c r="BH34" s="26" t="str">
        <f>IFERROR(IF(LEN(중요_시점[[#This Row],[요일]])=0,"",IF(AND(BH$7=$E34,$F34=1),중요_시점_표식,"")),"")</f>
        <v/>
      </c>
      <c r="BI34" s="26" t="str">
        <f>IFERROR(IF(LEN(중요_시점[[#This Row],[요일]])=0,"",IF(AND(BI$7=$E34,$F34=1),중요_시점_표식,"")),"")</f>
        <v/>
      </c>
      <c r="BJ34" s="26" t="str">
        <f>IFERROR(IF(LEN(중요_시점[[#This Row],[요일]])=0,"",IF(AND(BJ$7=$E34,$F34=1),중요_시점_표식,"")),"")</f>
        <v/>
      </c>
      <c r="BK34" s="26" t="str">
        <f>IFERROR(IF(LEN(중요_시점[[#This Row],[요일]])=0,"",IF(AND(BK$7=$E34,$F34=1),중요_시점_표식,"")),"")</f>
        <v/>
      </c>
    </row>
    <row r="35" spans="1:63" s="1" customFormat="1" ht="30" customHeight="1" thickBot="1">
      <c r="A35" s="6"/>
      <c r="B35" s="8" t="s">
        <v>18</v>
      </c>
      <c r="C35" s="8"/>
      <c r="D35" s="8"/>
      <c r="E35" s="17"/>
      <c r="F35" s="8"/>
      <c r="G35" s="15"/>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row>
    <row r="36" spans="1:63" customFormat="1" ht="30" customHeight="1">
      <c r="A36" s="5"/>
      <c r="C36" s="4"/>
      <c r="E36" s="2"/>
      <c r="F36" s="7"/>
      <c r="G36" s="3"/>
    </row>
    <row r="37" spans="1:63" ht="30" customHeight="1">
      <c r="C37" s="99"/>
    </row>
  </sheetData>
  <mergeCells count="1">
    <mergeCell ref="O5:T5"/>
  </mergeCells>
  <phoneticPr fontId="25" type="noConversion"/>
  <conditionalFormatting sqref="D8:D34">
    <cfRule type="dataBar" priority="10">
      <dataBar>
        <cfvo type="num" val="0"/>
        <cfvo type="num" val="1"/>
        <color theme="3" tint="0.79998168889431442"/>
      </dataBar>
      <extLst>
        <ext xmlns:x14="http://schemas.microsoft.com/office/spreadsheetml/2009/9/main" uri="{B025F937-C7B1-47D3-B67F-A62EFF666E3E}">
          <x14:id>{B0389232-4C98-4A03-AD0E-39F63BAD1F53}</x14:id>
        </ext>
      </extLst>
    </cfRule>
  </conditionalFormatting>
  <conditionalFormatting sqref="H10:BK34">
    <cfRule type="expression" dxfId="3" priority="78">
      <formula>H$7&lt;=오늘​​</formula>
    </cfRule>
  </conditionalFormatting>
  <conditionalFormatting sqref="H9:BK34">
    <cfRule type="expression" dxfId="2" priority="11" stopIfTrue="1">
      <formula>AND(H$7&gt;=$E9+1,H$7&lt;=$E9+$F9-2)</formula>
    </cfRule>
  </conditionalFormatting>
  <conditionalFormatting sqref="H7:BK8">
    <cfRule type="expression" dxfId="1" priority="1">
      <formula>H$7&lt;=TODAY()</formula>
    </cfRule>
  </conditionalFormatting>
  <dataValidations count="9">
    <dataValidation type="whole" operator="greaterThanOrEqual" allowBlank="1" showInputMessage="1" promptTitle="스크롤 증가값" prompt="이 숫자를 변경하면 Gantt 차트 보기가 스크롤됩니다." sqref="U5" xr:uid="{00000000-0002-0000-0000-000000000000}">
      <formula1>0</formula1>
    </dataValidation>
    <dataValidation allowBlank="1" showInputMessage="1" showErrorMessage="1" prompt="이 행에는 Gantt 중요 시점 데이터의 끝이 표시됩니다. 이 행에는 아무것도 입력하지 마세요. _x000a__x000a_항목을 추가하려면 이 위에 새 행을 삽입합니다." sqref="A35" xr:uid="{122359A3-9459-42AA-9E37-B8F692675442}"/>
    <dataValidation allowBlank="1" showInputMessage="1" showErrorMessage="1" promptTitle="프로젝트 정보 입력 " prompt="B10 셀부터 F10 셀까지 시작하여, 중요 시점 설명을 입력하고, 항목에 할당하고, 작업 진행률을 완료율로 입력하고, 작업의 시작 날짜와 기간을 일수로 입력합니다. Gantt 차트가 자동으로 업데이트됩니다. " sqref="A10" xr:uid="{E46237BA-CA59-4493-BC33-514A22ADD7C3}"/>
    <dataValidation allowBlank="1" showInputMessage="1" showErrorMessage="1" prompt="B8에는 프로젝트 일정에 대한 머리글이 포함되어 있습니다. H8에서 BK8까지는 위의 날짜에 대한 각 요일의 첫 번째 문자가 있습니다. 모든 시간 표시 막대 차트 작성은 입력한 시작 날짜와 일수를 기준으로 자동으로 생성됩니다." sqref="A8" xr:uid="{DC208EAF-C78C-4904-96A6-5B1CC7F9B506}"/>
    <dataValidation allowBlank="1" showInputMessage="1" showErrorMessage="1" prompt="6행의 날짜에 대한 월이 H6 셀부터 BK6 셀까지 표시됩니다. 월의 일수는 7행에 있으며 H7 셀부터 시작됩니다. 이 셀들을 수정하지 마세요. 이 셀들은 프로젝트 시작 날짜와 스크롤 막대 증가값을 기준으로 자동 업데이트됩니다." sqref="A7" xr:uid="{507FB6DD-155F-4E02-ACA7-2B1A4A9CA5E7}"/>
    <dataValidation allowBlank="1" showInputMessage="1" showErrorMessage="1" prompt="기본 중요 시점 표식 유형을 수정하려면 C6 셀에 0, 1 또는 2를 입력합니다. 해당 표식이 D6 셀에 나타납니다. 표식을 변경하려면 해당 셀과 아래 표에 대한 조건부 형식을 수정하세요._x000a_" sqref="A6" xr:uid="{580D4756-B916-4497-906A-F0B5BE5BA8AA}"/>
    <dataValidation allowBlank="1" showInputMessage="1" showErrorMessage="1" prompt="스크롤 증가값은 U5 셀에 있습니다. 스크롤 막대는 H5 셀에서 M5 셀까지 있습니다. 스크롤 증가값을 늘리거나 스크롤 막대를 사용하면 Gantt 차트 시간 표시 막대가 증가합니다. _x000a_U5 셀에 0을 입력하면 차트가 프로젝트 시작 부분으로 재설정됩니다._x000a_" sqref="A5" xr:uid="{F3229BBE-A1E6-4CA3-BB92-6F2045D717AF}"/>
    <dataValidation allowBlank="1" showInputMessage="1" showErrorMessage="1" prompt="B3 셀에 회사 이름을 입력합니다._x000a__x000a_B4 셀에 프로젝트 관리자의 이름을 입력합니다._x000a__x000a_C5 셀에 프로젝트 시작 날짜를 입력하거나 샘플 수식이 Gantt 데이터 테이블에서 가장 작은 날짜 값을 찾도록 허용합니다. 프로젝트 시작 날짜: 레이블은 B5 셀에 있습니다." sqref="A3" xr:uid="{172E1726-C74E-4858-9B72-51FB7B8F64AE}"/>
    <dataValidation allowBlank="1" showInputMessage="1" showErrorMessage="1" promptTitle="Gantt 차트 만들기 " prompt="B2 셀에 이 프로젝트의 제목을 입력하세요. _x000a___x000a_화면 판독기 및 이 통합 문서 작성자에 대한 지침을 포함하여 이 워크시트를 사용하는 방법에 대한 정보는 정보 워크시트에 있습니다._x000a_A 열을 계속 탐색하여 추가 지침을 들어보세요." sqref="A2" xr:uid="{C6BAC278-5ABA-42D1-99E3-EE6346CDA34B}"/>
  </dataValidations>
  <printOptions horizontalCentered="1"/>
  <pageMargins left="0.25" right="0.25" top="0.5" bottom="0.5" header="0.3" footer="0.3"/>
  <pageSetup paperSize="9" scale="44"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0" r:id="rId4" name="스크롤 막대 6">
              <controlPr defaultSize="0" autoPict="0" altText="Gantt 시간 표시줄을 스크롤하기 위한 스크롤 막대입니다.">
                <anchor moveWithCells="1">
                  <from>
                    <xdr:col>7</xdr:col>
                    <xdr:colOff>38100</xdr:colOff>
                    <xdr:row>4</xdr:row>
                    <xdr:rowOff>28575</xdr:rowOff>
                  </from>
                  <to>
                    <xdr:col>12</xdr:col>
                    <xdr:colOff>257175</xdr:colOff>
                    <xdr:row>4</xdr:row>
                    <xdr:rowOff>352425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D8:D34</xm:sqref>
        </x14:conditionalFormatting>
        <x14:conditionalFormatting xmlns:xm="http://schemas.microsoft.com/office/excel/2006/main">
          <x14:cfRule type="iconSet" priority="3" id="{628A03C6-EE71-4B44-A6BA-69DC45906EA6}">
            <x14:iconSet iconSet="3Stars" showValue="0" custom="1">
              <x14:cfvo type="percent">
                <xm:f>0</xm:f>
              </x14:cfvo>
              <x14:cfvo type="num">
                <xm:f>1</xm:f>
              </x14:cfvo>
              <x14:cfvo type="num">
                <xm:f>2</xm:f>
              </x14:cfvo>
              <x14:cfIcon iconSet="3Signs" iconId="1"/>
              <x14:cfIcon iconSet="3Flags" iconId="0"/>
              <x14:cfIcon iconSet="3Signs" iconId="0"/>
            </x14:iconSet>
          </x14:cfRule>
          <xm:sqref>H9:BK34</xm:sqref>
        </x14:conditionalFormatting>
        <x14:conditionalFormatting xmlns:xm="http://schemas.microsoft.com/office/excel/2006/main">
          <x14:cfRule type="iconSet" priority="2" id="{6C427F2E-2EF5-46B4-BFA6-7C68148277AC}">
            <x14:iconSet iconSet="3Flags" showValue="0" custom="1">
              <x14:cfvo type="percent">
                <xm:f>0</xm:f>
              </x14:cfvo>
              <x14:cfvo type="num">
                <xm:f>1</xm:f>
              </x14:cfvo>
              <x14:cfvo type="num">
                <xm:f>2</xm:f>
              </x14:cfvo>
              <x14:cfIcon iconSet="3Signs" iconId="1"/>
              <x14:cfIcon iconSet="3Flags" iconId="0"/>
              <x14:cfIcon iconSet="3Signs" iconId="0"/>
            </x14:iconSet>
          </x14:cfRule>
          <xm:sqref>D6</xm:sqref>
        </x14:conditionalFormatting>
      </x14:conditionalFormattings>
    </ext>
  </extLst>
</worksheet>
</file>

<file path=docProps/app.xml><?xml version="1.0" encoding="utf-8"?>
<ap:Properties xmlns:vt="http://schemas.openxmlformats.org/officeDocument/2006/docPropsVTypes" xmlns:ap="http://schemas.openxmlformats.org/officeDocument/2006/extended-properties">
  <ap:Template>TM22588720</ap:Template>
  <ap:DocSecurity>0</ap:DocSecurity>
  <ap:ScaleCrop>false</ap:ScaleCrop>
  <ap:HeadingPairs>
    <vt:vector baseType="variant" size="4">
      <vt:variant>
        <vt:lpstr>워크시트</vt:lpstr>
      </vt:variant>
      <vt:variant>
        <vt:i4>4</vt:i4>
      </vt:variant>
      <vt:variant>
        <vt:lpstr>이름 지정된 범위</vt:lpstr>
      </vt:variant>
      <vt:variant>
        <vt:i4>12</vt:i4>
      </vt:variant>
    </vt:vector>
  </ap:HeadingPairs>
  <ap:TitlesOfParts>
    <vt:vector baseType="lpstr" size="16">
      <vt:lpstr>정보</vt:lpstr>
      <vt:lpstr>녹색</vt:lpstr>
      <vt:lpstr>파랑</vt:lpstr>
      <vt:lpstr>자주</vt:lpstr>
      <vt:lpstr>녹색!Print_Titles</vt:lpstr>
      <vt:lpstr>자주!Print_Titles</vt:lpstr>
      <vt:lpstr>파랑!Print_Titles</vt:lpstr>
      <vt:lpstr>녹색!Project_Start</vt:lpstr>
      <vt:lpstr>파랑!Project_Start</vt:lpstr>
      <vt:lpstr>Project_Start</vt:lpstr>
      <vt:lpstr>녹색!스크롤_증분</vt:lpstr>
      <vt:lpstr>파랑!스크롤_증분</vt:lpstr>
      <vt:lpstr>스크롤_증분</vt:lpstr>
      <vt:lpstr>녹색!중요_시점_표식</vt:lpstr>
      <vt:lpstr>파랑!중요_시점_표식</vt:lpstr>
      <vt:lpstr>중요_시점_표식</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2022-01-04T19:45:11Z</dcterms:created>
  <dcterms:modified xsi:type="dcterms:W3CDTF">2022-01-27T06:06:46Z</dcterms:modified>
  <cp:category/>
  <cp:contentStatus/>
</cp:coreProperties>
</file>